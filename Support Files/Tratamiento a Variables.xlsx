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Support Files\"/>
    </mc:Choice>
  </mc:AlternateContent>
  <xr:revisionPtr revIDLastSave="0" documentId="13_ncr:1_{C42E8705-C581-42F1-B13E-02C4C1CC8DDD}" xr6:coauthVersionLast="47" xr6:coauthVersionMax="47" xr10:uidLastSave="{00000000-0000-0000-0000-000000000000}"/>
  <bookViews>
    <workbookView xWindow="28680" yWindow="-1020" windowWidth="29040" windowHeight="15720" activeTab="3" xr2:uid="{034F1915-4034-48EB-BB58-54D0E05D6A98}"/>
  </bookViews>
  <sheets>
    <sheet name="Replicar" sheetId="1" r:id="rId1"/>
    <sheet name="Rellenar con más cercano" sheetId="2" r:id="rId2"/>
    <sheet name="Eliminar Variable" sheetId="3" r:id="rId3"/>
    <sheet name="Especial" sheetId="4" r:id="rId4"/>
    <sheet name="Categoricas Temporales" sheetId="5" r:id="rId5"/>
    <sheet name="OBJETIVOS" sheetId="6" r:id="rId6"/>
  </sheets>
  <definedNames>
    <definedName name="_xlnm._FilterDatabase" localSheetId="1" hidden="1">'Rellenar con más cercano'!$A$1:$A$411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8" i="6"/>
  <c r="D7" i="6"/>
  <c r="D6" i="6"/>
  <c r="D5" i="6"/>
  <c r="D4" i="6"/>
  <c r="D3" i="6"/>
  <c r="D2" i="6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" i="1" l="1"/>
</calcChain>
</file>

<file path=xl/sharedStrings.xml><?xml version="1.0" encoding="utf-8"?>
<sst xmlns="http://schemas.openxmlformats.org/spreadsheetml/2006/main" count="718" uniqueCount="684">
  <si>
    <t>frec_alcohol_audit</t>
  </si>
  <si>
    <t>puntaje_audit</t>
  </si>
  <si>
    <t>Palabras_moca</t>
  </si>
  <si>
    <t>memoria_moca</t>
  </si>
  <si>
    <t>puntaje_moca</t>
  </si>
  <si>
    <t>f_inclusion</t>
  </si>
  <si>
    <t>ACCION</t>
  </si>
  <si>
    <t>VARIABLE</t>
  </si>
  <si>
    <t>f_nac</t>
  </si>
  <si>
    <t>Calcular edad a cada visita y después eliminar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</si>
  <si>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</si>
  <si>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</si>
  <si>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</si>
  <si>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</si>
  <si>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</si>
  <si>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</si>
  <si>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</si>
  <si>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</si>
  <si>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</si>
  <si>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</si>
  <si>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</si>
  <si>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cafe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</si>
  <si>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</si>
  <si>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</si>
  <si>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</si>
  <si>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</si>
  <si>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</si>
  <si>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</si>
  <si>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</si>
  <si>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horas_sueño</t>
  </si>
  <si>
    <t>horas_sueño_fs</t>
  </si>
  <si>
    <t>descansa</t>
  </si>
  <si>
    <t>siesta</t>
  </si>
  <si>
    <t>cambios_apetito</t>
  </si>
  <si>
    <t>Tipo_alergia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</si>
  <si>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</si>
  <si>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</si>
  <si>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</si>
  <si>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</si>
  <si>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</si>
  <si>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</si>
  <si>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</si>
  <si>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</si>
  <si>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tipo_acvascular</t>
  </si>
  <si>
    <t>tipo_obesidad</t>
  </si>
  <si>
    <t>tipo_diabetes</t>
  </si>
  <si>
    <t>tipo_colesterol</t>
  </si>
  <si>
    <t>tipo_hta</t>
  </si>
  <si>
    <t>fam_acvascular</t>
  </si>
  <si>
    <t>fam_obesidad</t>
  </si>
  <si>
    <t>fam_diabetes</t>
  </si>
  <si>
    <t>fam_colesterol</t>
  </si>
  <si>
    <t>fam_hta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</si>
  <si>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</si>
  <si>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</si>
  <si>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</si>
  <si>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</si>
  <si>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</si>
  <si>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</si>
  <si>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</si>
  <si>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</si>
  <si>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</si>
  <si>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</si>
  <si>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</si>
  <si>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</si>
  <si>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</si>
  <si>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</si>
  <si>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</si>
  <si>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</si>
  <si>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</si>
  <si>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</si>
  <si>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</si>
  <si>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</si>
  <si>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</si>
  <si>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</si>
  <si>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</si>
  <si>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</si>
  <si>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</si>
  <si>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</si>
  <si>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</si>
  <si>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</si>
  <si>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</si>
  <si>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</si>
  <si>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</si>
  <si>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</si>
  <si>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</si>
  <si>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</si>
  <si>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</si>
  <si>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</si>
  <si>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</si>
  <si>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</si>
  <si>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</si>
  <si>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</si>
  <si>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</si>
  <si>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</si>
  <si>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</si>
  <si>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</si>
  <si>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</si>
  <si>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</si>
  <si>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</si>
  <si>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</si>
  <si>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</si>
  <si>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</si>
  <si>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</si>
  <si>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</si>
  <si>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</si>
  <si>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</si>
  <si>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</si>
  <si>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</si>
  <si>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</si>
  <si>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</si>
  <si>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</si>
  <si>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</si>
  <si>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</si>
  <si>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</si>
  <si>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</si>
  <si>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fecha_visita</t>
  </si>
  <si>
    <t>fecha_extra</t>
  </si>
  <si>
    <t>fecha_analitica</t>
  </si>
  <si>
    <t>edad_analitica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</si>
  <si>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</si>
  <si>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</si>
  <si>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</si>
  <si>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</si>
  <si>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</si>
  <si>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</si>
  <si>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</si>
  <si>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</si>
  <si>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</si>
  <si>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</si>
  <si>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</si>
  <si>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</si>
  <si>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</si>
  <si>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</si>
  <si>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</si>
  <si>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</si>
  <si>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</si>
  <si>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</si>
  <si>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</si>
  <si>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</si>
  <si>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sodio</t>
  </si>
  <si>
    <t>potasio</t>
  </si>
  <si>
    <t>cloro</t>
  </si>
  <si>
    <t>calcio</t>
  </si>
  <si>
    <t>fosforo</t>
  </si>
  <si>
    <t>magnesio</t>
  </si>
  <si>
    <t>hierro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</si>
  <si>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</si>
  <si>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</si>
  <si>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</si>
  <si>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</si>
  <si>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</si>
  <si>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</si>
  <si>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</si>
  <si>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</si>
  <si>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</si>
  <si>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</si>
  <si>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</si>
  <si>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</si>
  <si>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</si>
  <si>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</si>
  <si>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</si>
  <si>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</si>
  <si>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</si>
  <si>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</si>
  <si>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</si>
  <si>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</si>
  <si>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</si>
  <si>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</si>
  <si>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</si>
  <si>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</si>
  <si>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</si>
  <si>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</si>
  <si>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</si>
  <si>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</si>
  <si>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</si>
  <si>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</si>
  <si>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</si>
  <si>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</si>
  <si>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</si>
  <si>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</si>
  <si>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</si>
  <si>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</si>
  <si>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</si>
  <si>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</si>
  <si>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</si>
  <si>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</si>
  <si>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</si>
  <si>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</si>
  <si>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</si>
  <si>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zinc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</si>
  <si>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</si>
  <si>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</si>
  <si>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</si>
  <si>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</si>
  <si>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</si>
  <si>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</si>
  <si>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</si>
  <si>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</si>
  <si>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</si>
  <si>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</si>
  <si>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</si>
  <si>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</si>
  <si>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</si>
  <si>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</si>
  <si>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</si>
  <si>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</si>
  <si>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</si>
  <si>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</si>
  <si>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</si>
  <si>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</si>
  <si>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</si>
  <si>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</si>
  <si>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</si>
  <si>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</si>
  <si>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</si>
  <si>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</si>
  <si>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</si>
  <si>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</si>
  <si>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</si>
  <si>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</si>
  <si>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</si>
  <si>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</si>
  <si>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</si>
  <si>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</si>
  <si>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</si>
  <si>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</si>
  <si>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</si>
  <si>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</si>
  <si>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</si>
  <si>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</si>
  <si>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</si>
  <si>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</si>
  <si>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</si>
  <si>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</si>
  <si>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</si>
  <si>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</si>
  <si>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</si>
  <si>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</si>
  <si>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</si>
  <si>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</si>
  <si>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</si>
  <si>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</si>
  <si>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</si>
  <si>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</si>
  <si>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</si>
  <si>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</si>
  <si>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</si>
  <si>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</si>
  <si>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</si>
  <si>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</si>
  <si>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</si>
  <si>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</si>
  <si>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</si>
  <si>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</si>
  <si>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</si>
  <si>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</si>
  <si>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</si>
  <si>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</si>
  <si>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</si>
  <si>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</si>
  <si>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</si>
  <si>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</si>
  <si>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</si>
  <si>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</si>
  <si>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</si>
  <si>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</si>
  <si>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</si>
  <si>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</si>
  <si>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</si>
  <si>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</si>
  <si>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</si>
  <si>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</si>
  <si>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</si>
  <si>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ini_menst</t>
  </si>
  <si>
    <t>fin_menst</t>
  </si>
  <si>
    <t>CONVERTIR A FLAG (HOMBRE Ó NA | 1 FERTIL | 0 MENOPAUSICA) TERMINOS POR DEFINIR, SI EN EL PERIODO DEL ESTUDIO TUVIERON MENSTRUACION (INDICARÍA SI SON MENOPAUSICAS O NO)</t>
  </si>
  <si>
    <t>bristol</t>
  </si>
  <si>
    <t>num_depo</t>
  </si>
  <si>
    <t>Diario, menos de una vez al día, dos o más veces por día (los que dicen 1 o 2 poner en dos o mas veces). Tomar valor anterior para BLANKS.</t>
  </si>
  <si>
    <t>PAS_izq</t>
  </si>
  <si>
    <t>PAD_izq</t>
  </si>
  <si>
    <t>PAS_der</t>
  </si>
  <si>
    <t>PAD_der</t>
  </si>
  <si>
    <t>FC1_izq</t>
  </si>
  <si>
    <t>FC2_izq</t>
  </si>
  <si>
    <t>FC3_izq</t>
  </si>
  <si>
    <t>FC1_der</t>
  </si>
  <si>
    <t>FC2_der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</si>
  <si>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</si>
  <si>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</si>
  <si>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</si>
  <si>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</si>
  <si>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</si>
  <si>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</si>
  <si>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</si>
  <si>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</si>
  <si>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</si>
  <si>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</si>
  <si>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</si>
  <si>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</si>
  <si>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</si>
  <si>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</si>
  <si>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</si>
  <si>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Cambiar a si/no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</si>
  <si>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</si>
  <si>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</si>
  <si>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</si>
  <si>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</si>
  <si>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</si>
  <si>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</si>
  <si>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</si>
  <si>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</si>
  <si>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</si>
  <si>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</si>
  <si>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</si>
  <si>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</si>
  <si>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</si>
  <si>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</si>
  <si>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</si>
  <si>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</si>
  <si>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</si>
  <si>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</si>
  <si>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</si>
  <si>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</si>
  <si>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</si>
  <si>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</si>
  <si>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</si>
  <si>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</si>
  <si>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</si>
  <si>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</si>
  <si>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</si>
  <si>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</si>
  <si>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</si>
  <si>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</si>
  <si>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</si>
  <si>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</si>
  <si>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</si>
  <si>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</si>
  <si>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</si>
  <si>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</si>
  <si>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</si>
  <si>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wcst_años_educacion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</si>
  <si>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</si>
  <si>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</si>
  <si>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</si>
  <si>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</si>
  <si>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</si>
  <si>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</si>
  <si>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</si>
  <si>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</si>
  <si>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</si>
  <si>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</si>
  <si>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</si>
  <si>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</si>
  <si>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</si>
  <si>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</si>
  <si>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</si>
  <si>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</si>
  <si>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</si>
  <si>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</si>
  <si>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</si>
  <si>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</si>
  <si>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</si>
  <si>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</si>
  <si>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</si>
  <si>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</si>
  <si>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</si>
  <si>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</si>
  <si>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</si>
  <si>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</si>
  <si>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</si>
  <si>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</si>
  <si>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rellenar missings con 0</t>
  </si>
  <si>
    <t>pgh_5j_especifica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</si>
  <si>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</si>
  <si>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</si>
  <si>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</si>
  <si>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</si>
  <si>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</si>
  <si>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</si>
  <si>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</si>
  <si>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</si>
  <si>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</si>
  <si>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</si>
  <si>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</si>
  <si>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</si>
  <si>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</si>
  <si>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</si>
  <si>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</si>
  <si>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</si>
  <si>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</si>
  <si>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</si>
  <si>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</si>
  <si>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</si>
  <si>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</si>
  <si>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</si>
  <si>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</si>
  <si>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</si>
  <si>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</si>
  <si>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</si>
  <si>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</si>
  <si>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</si>
  <si>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</si>
  <si>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</si>
  <si>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</si>
  <si>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</si>
  <si>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</si>
  <si>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</si>
  <si>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</si>
  <si>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</si>
  <si>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</si>
  <si>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</si>
  <si>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</si>
  <si>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</si>
  <si>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</si>
  <si>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</si>
  <si>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Nota: estas componen a indices (scores) de calidad de vida, si ninguna es relevante, quitarlas para mejor dejar los scores.</t>
  </si>
  <si>
    <t>Idea: si algún score sale muy relevante, quizás incluir las variables que lo componen para indagar si alguna en especial es importante.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</si>
  <si>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</si>
  <si>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</si>
  <si>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</si>
  <si>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</si>
  <si>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</si>
  <si>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</si>
  <si>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</si>
  <si>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</si>
  <si>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</si>
  <si>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</si>
  <si>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</si>
  <si>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</si>
  <si>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</si>
  <si>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</si>
  <si>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</si>
  <si>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</si>
  <si>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</si>
  <si>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</si>
  <si>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</si>
  <si>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</si>
  <si>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</si>
  <si>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</si>
  <si>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</si>
  <si>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</si>
  <si>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</si>
  <si>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</si>
  <si>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</si>
  <si>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</si>
  <si>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</si>
  <si>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</si>
  <si>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</si>
  <si>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</si>
  <si>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</si>
  <si>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</si>
  <si>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</si>
  <si>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</si>
  <si>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</si>
  <si>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</si>
  <si>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</si>
  <si>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</si>
  <si>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</si>
  <si>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</si>
  <si>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</si>
  <si>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</si>
  <si>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</si>
  <si>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</si>
  <si>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</si>
  <si>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</si>
  <si>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</si>
  <si>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</si>
  <si>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</si>
  <si>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</si>
  <si>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</si>
  <si>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</si>
  <si>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</si>
  <si>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</si>
  <si>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</si>
  <si>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</si>
  <si>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</si>
  <si>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</si>
  <si>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</si>
  <si>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</si>
  <si>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</si>
  <si>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</si>
  <si>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</si>
  <si>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</si>
  <si>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</si>
  <si>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</si>
  <si>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</si>
  <si>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</si>
  <si>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</si>
  <si>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</si>
  <si>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</si>
  <si>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</si>
  <si>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</si>
  <si>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</si>
  <si>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</si>
  <si>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</si>
  <si>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</si>
  <si>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</si>
  <si>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</si>
  <si>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</si>
  <si>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</si>
  <si>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</si>
  <si>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</si>
  <si>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</si>
  <si>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</si>
  <si>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</si>
  <si>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</si>
  <si>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</si>
  <si>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</si>
  <si>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</si>
  <si>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</si>
  <si>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</si>
  <si>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</si>
  <si>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</si>
  <si>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</si>
  <si>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</si>
  <si>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</si>
  <si>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</si>
  <si>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</si>
  <si>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</si>
  <si>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</si>
  <si>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</si>
  <si>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</si>
  <si>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</si>
  <si>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</si>
  <si>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</si>
  <si>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</si>
  <si>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</si>
  <si>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</si>
  <si>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</si>
  <si>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</si>
  <si>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</si>
  <si>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</si>
  <si>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</si>
  <si>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</si>
  <si>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</si>
  <si>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</si>
  <si>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</si>
  <si>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</si>
  <si>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</si>
  <si>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</si>
  <si>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</si>
  <si>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</si>
  <si>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</si>
  <si>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</si>
  <si>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</si>
  <si>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</si>
  <si>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</si>
  <si>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</si>
  <si>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</si>
  <si>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</si>
  <si>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</si>
  <si>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</si>
  <si>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</si>
  <si>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</si>
  <si>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</si>
  <si>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</si>
  <si>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</si>
  <si>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</si>
  <si>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</si>
  <si>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</si>
  <si>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</si>
  <si>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</si>
  <si>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</si>
  <si>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</si>
  <si>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</si>
  <si>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</si>
  <si>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</si>
  <si>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</si>
  <si>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</si>
  <si>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</si>
  <si>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</si>
  <si>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</si>
  <si>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</si>
  <si>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</si>
  <si>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</si>
  <si>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</si>
  <si>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</si>
  <si>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</si>
  <si>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</si>
  <si>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</si>
  <si>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</si>
  <si>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</si>
  <si>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</si>
  <si>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</si>
  <si>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</si>
  <si>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</si>
  <si>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</si>
  <si>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</si>
  <si>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</si>
  <si>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</si>
  <si>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</si>
  <si>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</si>
  <si>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</si>
  <si>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</si>
  <si>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</si>
  <si>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</si>
  <si>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</si>
  <si>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</si>
  <si>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NOTA: Estas variables significan que si se usarán, solo que algunas pueden tener valores nulos.</t>
  </si>
  <si>
    <t>Rellenar los valores nulos con el valor de arriba de cada ID, si no tiene arriba el de abajo.</t>
  </si>
  <si>
    <t>Si la variable no tiene nulos, no procesarla.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</si>
  <si>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</si>
  <si>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</si>
  <si>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</si>
  <si>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</si>
  <si>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</si>
  <si>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</si>
  <si>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</si>
  <si>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</si>
  <si>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</si>
  <si>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</si>
  <si>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</si>
  <si>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tom_completo</t>
  </si>
  <si>
    <t>SOLO VAMOS A TENER UNA VEZ VALOR POR ID, DEPENDIENDO DEL SUBGRUPO
PENSAR EN COMO HACER QUE SU DATO LOS REPRESENTE EN TODAS SUS VISITAS
PONER 0 A LOS QUE TENGAN VALOR EN EL RENGLÓN</t>
  </si>
  <si>
    <t>g_dia_tom</t>
  </si>
  <si>
    <t>mg_dia_licopeno</t>
  </si>
  <si>
    <t>CANTIDAD DE TOMATE QUE SE ASIGNO A CONSUMIR BASADO EN PESO</t>
  </si>
  <si>
    <t>ta_i5_t1_c1</t>
  </si>
  <si>
    <t>ta_i7_t1_c1</t>
  </si>
  <si>
    <t>tb_i9_t1_c1</t>
  </si>
  <si>
    <t>luteina</t>
  </si>
  <si>
    <t>zeaxantina</t>
  </si>
  <si>
    <t>betacriptoxantina</t>
  </si>
  <si>
    <t>alfacaroteno</t>
  </si>
  <si>
    <t>betacaroteno</t>
  </si>
  <si>
    <t>licopeno</t>
  </si>
  <si>
    <t>licopeno_5cis</t>
  </si>
  <si>
    <t>licopeno_trans</t>
  </si>
  <si>
    <t>bdnf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</si>
  <si>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</si>
  <si>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</si>
  <si>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</si>
  <si>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</si>
  <si>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</si>
  <si>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</si>
  <si>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</si>
  <si>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</si>
  <si>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</si>
  <si>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</si>
  <si>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</si>
  <si>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</si>
  <si>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</si>
  <si>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</si>
  <si>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</si>
  <si>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</si>
  <si>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</si>
  <si>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</si>
  <si>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MODELO CON INTERVENCION 1Y2 Y OTRO TOTAL (COLUMNA TRATAMIENTO)
VER COMO LA MEDICION BASAL PREDICE EL CAMBIO PODRÍAMOS RECORRERLAS HACIA ARRIBA IDEA DE CON EL PASADO ESTIMAR EL FUTURO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</si>
  <si>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</si>
  <si>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</si>
  <si>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</si>
  <si>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</si>
  <si>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</si>
  <si>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</si>
  <si>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</si>
  <si>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</si>
  <si>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</si>
  <si>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</si>
  <si>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</si>
  <si>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</si>
  <si>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</si>
  <si>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</si>
  <si>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</si>
  <si>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</si>
  <si>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</si>
  <si>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plaquetas</t>
  </si>
  <si>
    <t>vol_plaquetario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</si>
  <si>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</si>
  <si>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</si>
  <si>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</si>
  <si>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</si>
  <si>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</si>
  <si>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</si>
  <si>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</si>
  <si>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</si>
  <si>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ESPERAR SIGNIFICADO DE LAS PALABRAS (+) (++) Y TRADUCIR</t>
  </si>
  <si>
    <t>NINGUNA TIENE NULOS</t>
  </si>
  <si>
    <t>FOR YAML</t>
  </si>
  <si>
    <t>NOTA, PRIMERO HACER LA MANIPULACIÓN ESPECIAL Y DESPUÉS ELIMINAR</t>
  </si>
  <si>
    <t>NOTA: albumina_orina SE REPITE, EN NUMERO Y EN CATEGORICO</t>
  </si>
  <si>
    <t>No se pondrá en el YAML, pues se sobreescribirá.</t>
  </si>
  <si>
    <r>
      <t xml:space="preserve">CONTAR EL NUMERO DE MEDICINAS QUE USA
COLUMNA NUEVA: </t>
    </r>
    <r>
      <rPr>
        <b/>
        <sz val="16"/>
        <color theme="1"/>
        <rFont val="Aptos Narrow"/>
        <family val="2"/>
        <scheme val="minor"/>
      </rPr>
      <t>'total_meds'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</si>
</sst>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2F21-957E-4C7E-B617-4712CBC54C89}">
  <dimension ref="A1:E42"/>
  <sheetViews>
    <sheetView workbookViewId="0"/>
  </sheetViews>
  <sheetFormatPr defaultRowHeight="15" x14ac:dyDescent="0.25"/>
  <cols>
    <col min="1" max="1" width="23.85546875" style="1" customWidth="1"/>
    <col min="3" max="3" width="23.85546875" style="1" customWidth="1"/>
  </cols>
  <sheetData>
    <row r="1" spans="1:5" x14ac:dyDescent="0.25">
      <c r="A1" s="4" t="s">
        <v>7</v>
      </c>
      <c r="C1" s="4" t="s">
        <v>679</v>
      </c>
    </row>
    <row r="2" spans="1:5" x14ac:dyDescent="0.25">
      <c r="A2" s="1" t="s">
        <v>0</v>
      </c>
      <c r="C2" s="1" t="str">
        <f>"- "&amp;A2</f>
        <v>- frec_alcohol_audit</v>
      </c>
      <c r="E2">
        <f>COUNTA(C2:C42)+COUNTA('Rellenar con más cercano'!C2:C411)+COUNTA('Eliminar Variable'!C3:C146)+COUNTA(Especial!D2:D43)+COUNTA('Categoricas Temporales'!C2:C41)+COUNTA(OBJETIVOS!D2:D8)</f>
        <v>684</v>
      </c>
    </row>
    <row r="3" spans="1:5" x14ac:dyDescent="0.25">
      <c r="A3" s="1" t="s">
        <v>1</v>
      </c>
      <c r="C3" s="1" t="str">
        <f t="shared" ref="C3:C42" si="0">"- "&amp;A3</f>
        <v>- puntaje_audit</v>
      </c>
    </row>
    <row r="4" spans="1:5" x14ac:dyDescent="0.25">
      <c r="A4" s="1" t="s">
        <v>2</v>
      </c>
      <c r="C4" s="1" t="str">
        <f t="shared" si="0"/>
        <v>- Palabras_moca</v>
      </c>
    </row>
    <row r="5" spans="1:5" x14ac:dyDescent="0.25">
      <c r="A5" s="1" t="s">
        <v>3</v>
      </c>
      <c r="C5" s="1" t="str">
        <f t="shared" si="0"/>
        <v>- memoria_moca</v>
      </c>
    </row>
    <row r="6" spans="1:5" x14ac:dyDescent="0.25">
      <c r="A6" s="1" t="s">
        <v>4</v>
      </c>
      <c r="C6" s="1" t="str">
        <f t="shared" si="0"/>
        <v>- puntaje_moca</v>
      </c>
    </row>
    <row r="7" spans="1:5" x14ac:dyDescent="0.25">
      <c r="A7" s="1" t="s">
        <v>11</v>
      </c>
      <c r="C7" s="1" t="str">
        <f t="shared" si="0"/>
        <v>- sexo</v>
      </c>
    </row>
    <row r="8" spans="1:5" x14ac:dyDescent="0.25">
      <c r="A8" s="1" t="s">
        <v>12</v>
      </c>
      <c r="C8" s="1" t="str">
        <f t="shared" si="0"/>
        <v>- edo_civil</v>
      </c>
    </row>
    <row r="9" spans="1:5" x14ac:dyDescent="0.25">
      <c r="A9" s="1" t="s">
        <v>13</v>
      </c>
      <c r="C9" s="1" t="str">
        <f t="shared" si="0"/>
        <v>- personas_hogar</v>
      </c>
    </row>
    <row r="10" spans="1:5" x14ac:dyDescent="0.25">
      <c r="A10" s="1" t="s">
        <v>14</v>
      </c>
      <c r="C10" s="1" t="str">
        <f t="shared" si="0"/>
        <v>- nivel_e</v>
      </c>
    </row>
    <row r="11" spans="1:5" x14ac:dyDescent="0.25">
      <c r="A11" s="1" t="s">
        <v>15</v>
      </c>
      <c r="C11" s="1" t="str">
        <f t="shared" si="0"/>
        <v>- trabajo</v>
      </c>
    </row>
    <row r="12" spans="1:5" x14ac:dyDescent="0.25">
      <c r="A12" s="1" t="s">
        <v>17</v>
      </c>
      <c r="C12" s="1" t="str">
        <f t="shared" si="0"/>
        <v>- ejercicio</v>
      </c>
    </row>
    <row r="13" spans="1:5" x14ac:dyDescent="0.25">
      <c r="A13" s="1" t="s">
        <v>19</v>
      </c>
      <c r="C13" s="1" t="str">
        <f t="shared" si="0"/>
        <v>- af_trabajo</v>
      </c>
    </row>
    <row r="14" spans="1:5" x14ac:dyDescent="0.25">
      <c r="A14" s="1" t="s">
        <v>20</v>
      </c>
      <c r="C14" s="1" t="str">
        <f t="shared" si="0"/>
        <v>- af_libre</v>
      </c>
    </row>
    <row r="15" spans="1:5" x14ac:dyDescent="0.25">
      <c r="A15" s="1" t="s">
        <v>21</v>
      </c>
      <c r="C15" s="1" t="str">
        <f t="shared" si="0"/>
        <v>- cafe</v>
      </c>
    </row>
    <row r="16" spans="1:5" x14ac:dyDescent="0.25">
      <c r="A16" s="1" t="s">
        <v>22</v>
      </c>
      <c r="C16" s="1" t="str">
        <f t="shared" si="0"/>
        <v>- tipo_dieta</v>
      </c>
    </row>
    <row r="17" spans="1:3" x14ac:dyDescent="0.25">
      <c r="A17" s="1" t="s">
        <v>24</v>
      </c>
      <c r="C17" s="1" t="str">
        <f t="shared" si="0"/>
        <v>- tabaco</v>
      </c>
    </row>
    <row r="18" spans="1:3" x14ac:dyDescent="0.25">
      <c r="A18" s="1" t="s">
        <v>25</v>
      </c>
      <c r="C18" s="1" t="str">
        <f t="shared" si="0"/>
        <v>- alcohol</v>
      </c>
    </row>
    <row r="19" spans="1:3" x14ac:dyDescent="0.25">
      <c r="A19" s="1" t="s">
        <v>26</v>
      </c>
      <c r="C19" s="1" t="str">
        <f t="shared" si="0"/>
        <v>- tipo_alcohol</v>
      </c>
    </row>
    <row r="20" spans="1:3" x14ac:dyDescent="0.25">
      <c r="A20" s="1" t="s">
        <v>27</v>
      </c>
      <c r="C20" s="1" t="str">
        <f t="shared" si="0"/>
        <v>- frec_alcohol</v>
      </c>
    </row>
    <row r="21" spans="1:3" x14ac:dyDescent="0.25">
      <c r="A21" s="1" t="s">
        <v>28</v>
      </c>
      <c r="C21" s="1" t="str">
        <f t="shared" si="0"/>
        <v>- alergias_alim</v>
      </c>
    </row>
    <row r="22" spans="1:3" x14ac:dyDescent="0.25">
      <c r="A22" s="1" t="s">
        <v>29</v>
      </c>
      <c r="C22" s="1" t="str">
        <f t="shared" si="0"/>
        <v>- horas_sueño</v>
      </c>
    </row>
    <row r="23" spans="1:3" x14ac:dyDescent="0.25">
      <c r="A23" s="1" t="s">
        <v>30</v>
      </c>
      <c r="C23" s="1" t="str">
        <f t="shared" si="0"/>
        <v>- horas_sueño_fs</v>
      </c>
    </row>
    <row r="24" spans="1:3" x14ac:dyDescent="0.25">
      <c r="A24" s="1" t="s">
        <v>31</v>
      </c>
      <c r="C24" s="1" t="str">
        <f t="shared" si="0"/>
        <v>- descansa</v>
      </c>
    </row>
    <row r="25" spans="1:3" x14ac:dyDescent="0.25">
      <c r="A25" s="1" t="s">
        <v>32</v>
      </c>
      <c r="C25" s="1" t="str">
        <f t="shared" si="0"/>
        <v>- siesta</v>
      </c>
    </row>
    <row r="26" spans="1:3" x14ac:dyDescent="0.25">
      <c r="A26" s="1" t="s">
        <v>33</v>
      </c>
      <c r="C26" s="1" t="str">
        <f t="shared" si="0"/>
        <v>- cambios_apetito</v>
      </c>
    </row>
    <row r="27" spans="1:3" x14ac:dyDescent="0.25">
      <c r="A27" s="1" t="s">
        <v>36</v>
      </c>
      <c r="C27" s="1" t="str">
        <f t="shared" si="0"/>
        <v>- cambios_sueño</v>
      </c>
    </row>
    <row r="28" spans="1:3" x14ac:dyDescent="0.25">
      <c r="A28" s="1" t="s">
        <v>38</v>
      </c>
      <c r="C28" s="1" t="str">
        <f t="shared" si="0"/>
        <v>- int_quirugica</v>
      </c>
    </row>
    <row r="29" spans="1:3" x14ac:dyDescent="0.25">
      <c r="A29" s="1" t="s">
        <v>40</v>
      </c>
      <c r="C29" s="1" t="str">
        <f t="shared" si="0"/>
        <v>- covid</v>
      </c>
    </row>
    <row r="30" spans="1:3" x14ac:dyDescent="0.25">
      <c r="A30" s="1" t="s">
        <v>41</v>
      </c>
      <c r="C30" s="1" t="str">
        <f t="shared" si="0"/>
        <v>- fam_cardiacos</v>
      </c>
    </row>
    <row r="31" spans="1:3" x14ac:dyDescent="0.25">
      <c r="A31" s="1" t="s">
        <v>48</v>
      </c>
      <c r="C31" s="1" t="str">
        <f t="shared" si="0"/>
        <v>- fam_acvascular</v>
      </c>
    </row>
    <row r="32" spans="1:3" x14ac:dyDescent="0.25">
      <c r="A32" s="1" t="s">
        <v>49</v>
      </c>
      <c r="C32" s="1" t="str">
        <f t="shared" si="0"/>
        <v>- fam_obesidad</v>
      </c>
    </row>
    <row r="33" spans="1:3" x14ac:dyDescent="0.25">
      <c r="A33" s="1" t="s">
        <v>50</v>
      </c>
      <c r="C33" s="1" t="str">
        <f t="shared" si="0"/>
        <v>- fam_diabetes</v>
      </c>
    </row>
    <row r="34" spans="1:3" x14ac:dyDescent="0.25">
      <c r="A34" s="1" t="s">
        <v>51</v>
      </c>
      <c r="C34" s="1" t="str">
        <f t="shared" si="0"/>
        <v>- fam_colesterol</v>
      </c>
    </row>
    <row r="35" spans="1:3" x14ac:dyDescent="0.25">
      <c r="A35" s="1" t="s">
        <v>52</v>
      </c>
      <c r="C35" s="1" t="str">
        <f t="shared" si="0"/>
        <v>- fam_hta</v>
      </c>
    </row>
    <row r="36" spans="1:3" x14ac:dyDescent="0.25">
      <c r="A36" s="1" t="s">
        <v>53</v>
      </c>
      <c r="C36" s="1" t="str">
        <f t="shared" si="0"/>
        <v>- fam_enfgastro</v>
      </c>
    </row>
    <row r="37" spans="1:3" x14ac:dyDescent="0.25">
      <c r="A37" s="1" t="s">
        <v>55</v>
      </c>
      <c r="C37" s="1" t="str">
        <f t="shared" si="0"/>
        <v>- aspirina</v>
      </c>
    </row>
    <row r="38" spans="1:3" x14ac:dyDescent="0.25">
      <c r="A38" s="1" t="s">
        <v>56</v>
      </c>
      <c r="C38" s="1" t="str">
        <f t="shared" si="0"/>
        <v>- otras_med</v>
      </c>
    </row>
    <row r="39" spans="1:3" x14ac:dyDescent="0.25">
      <c r="A39" s="1" t="s">
        <v>57</v>
      </c>
      <c r="C39" s="1" t="str">
        <f t="shared" si="0"/>
        <v>- tranquilizantes</v>
      </c>
    </row>
    <row r="40" spans="1:3" x14ac:dyDescent="0.25">
      <c r="A40" s="1" t="s">
        <v>58</v>
      </c>
      <c r="C40" s="1" t="str">
        <f t="shared" si="0"/>
        <v>- vitaminas</v>
      </c>
    </row>
    <row r="41" spans="1:3" x14ac:dyDescent="0.25">
      <c r="A41" s="1" t="s">
        <v>59</v>
      </c>
      <c r="C41" s="1" t="str">
        <f t="shared" si="0"/>
        <v>- suplementos</v>
      </c>
    </row>
    <row r="42" spans="1:3" x14ac:dyDescent="0.25">
      <c r="A42" s="1" t="s">
        <v>60</v>
      </c>
      <c r="C42" s="1" t="str">
        <f t="shared" si="0"/>
        <v>- prebioticos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06B2-CCC4-458B-AB48-916FB3B91EA2}">
  <sheetPr filterMode="1"/>
  <dimension ref="A1:E411"/>
  <sheetViews>
    <sheetView workbookViewId="0"/>
  </sheetViews>
  <sheetFormatPr defaultRowHeight="15" x14ac:dyDescent="0.25"/>
  <cols>
    <col min="1" max="1" width="23.85546875" style="1" customWidth="1"/>
    <col min="3" max="3" width="23.85546875" style="1" customWidth="1"/>
  </cols>
  <sheetData>
    <row r="1" spans="1:5" x14ac:dyDescent="0.25">
      <c r="A1" s="4" t="s">
        <v>7</v>
      </c>
      <c r="C1" s="4" t="s">
        <v>679</v>
      </c>
      <c r="E1" t="s">
        <v>600</v>
      </c>
    </row>
    <row r="2" spans="1:5" hidden="1" x14ac:dyDescent="0.25">
      <c r="A2" s="1" t="s">
        <v>120</v>
      </c>
      <c r="C2" s="1" t="str">
        <f>"- "&amp;A2</f>
        <v>- pcr</v>
      </c>
      <c r="E2" t="s">
        <v>601</v>
      </c>
    </row>
    <row r="3" spans="1:5" hidden="1" x14ac:dyDescent="0.25">
      <c r="A3" s="1" t="s">
        <v>121</v>
      </c>
      <c r="C3" s="1" t="str">
        <f t="shared" ref="C3:C66" si="0">"- "&amp;A3</f>
        <v>- glucosa</v>
      </c>
      <c r="E3" t="s">
        <v>602</v>
      </c>
    </row>
    <row r="4" spans="1:5" hidden="1" x14ac:dyDescent="0.25">
      <c r="A4" s="1" t="s">
        <v>122</v>
      </c>
      <c r="C4" s="1" t="str">
        <f t="shared" si="0"/>
        <v>- bun</v>
      </c>
    </row>
    <row r="5" spans="1:5" hidden="1" x14ac:dyDescent="0.25">
      <c r="A5" s="1" t="s">
        <v>123</v>
      </c>
      <c r="C5" s="1" t="str">
        <f t="shared" si="0"/>
        <v>- creatinina</v>
      </c>
    </row>
    <row r="6" spans="1:5" hidden="1" x14ac:dyDescent="0.25">
      <c r="A6" s="1" t="s">
        <v>124</v>
      </c>
      <c r="C6" s="1" t="str">
        <f t="shared" si="0"/>
        <v>- filtrado_glomerular</v>
      </c>
    </row>
    <row r="7" spans="1:5" hidden="1" x14ac:dyDescent="0.25">
      <c r="A7" s="1" t="s">
        <v>125</v>
      </c>
      <c r="C7" s="1" t="str">
        <f t="shared" si="0"/>
        <v>- ac_urico</v>
      </c>
    </row>
    <row r="8" spans="1:5" hidden="1" x14ac:dyDescent="0.25">
      <c r="A8" s="1" t="s">
        <v>126</v>
      </c>
      <c r="C8" s="1" t="str">
        <f t="shared" si="0"/>
        <v>- col_total</v>
      </c>
    </row>
    <row r="9" spans="1:5" hidden="1" x14ac:dyDescent="0.25">
      <c r="A9" s="1" t="s">
        <v>127</v>
      </c>
      <c r="C9" s="1" t="str">
        <f t="shared" si="0"/>
        <v>- trigliceridos</v>
      </c>
    </row>
    <row r="10" spans="1:5" hidden="1" x14ac:dyDescent="0.25">
      <c r="A10" s="1" t="s">
        <v>128</v>
      </c>
      <c r="C10" s="1" t="str">
        <f t="shared" si="0"/>
        <v>- asat</v>
      </c>
    </row>
    <row r="11" spans="1:5" hidden="1" x14ac:dyDescent="0.25">
      <c r="A11" s="1" t="s">
        <v>129</v>
      </c>
      <c r="C11" s="1" t="str">
        <f t="shared" si="0"/>
        <v>- alat</v>
      </c>
    </row>
    <row r="12" spans="1:5" hidden="1" x14ac:dyDescent="0.25">
      <c r="A12" s="1" t="s">
        <v>130</v>
      </c>
      <c r="C12" s="1" t="str">
        <f t="shared" si="0"/>
        <v>- ggt</v>
      </c>
    </row>
    <row r="13" spans="1:5" hidden="1" x14ac:dyDescent="0.25">
      <c r="A13" s="1" t="s">
        <v>131</v>
      </c>
      <c r="C13" s="1" t="str">
        <f t="shared" si="0"/>
        <v>- bilirrubina_total</v>
      </c>
    </row>
    <row r="14" spans="1:5" hidden="1" x14ac:dyDescent="0.25">
      <c r="A14" s="1" t="s">
        <v>134</v>
      </c>
      <c r="C14" s="1" t="str">
        <f t="shared" si="0"/>
        <v>- fosfatasa_alcalina</v>
      </c>
    </row>
    <row r="15" spans="1:5" hidden="1" x14ac:dyDescent="0.25">
      <c r="A15" s="1" t="s">
        <v>135</v>
      </c>
      <c r="C15" s="1" t="str">
        <f t="shared" si="0"/>
        <v>- ldh</v>
      </c>
    </row>
    <row r="16" spans="1:5" hidden="1" x14ac:dyDescent="0.25">
      <c r="A16" s="1" t="s">
        <v>136</v>
      </c>
      <c r="C16" s="1" t="str">
        <f t="shared" si="0"/>
        <v>- proteinas_totales</v>
      </c>
    </row>
    <row r="17" spans="1:3" hidden="1" x14ac:dyDescent="0.25">
      <c r="A17" s="1" t="s">
        <v>137</v>
      </c>
      <c r="C17" s="1" t="str">
        <f t="shared" si="0"/>
        <v>- albumina</v>
      </c>
    </row>
    <row r="18" spans="1:3" hidden="1" x14ac:dyDescent="0.25">
      <c r="A18" s="1" t="s">
        <v>138</v>
      </c>
      <c r="C18" s="1" t="str">
        <f t="shared" si="0"/>
        <v>- amilasa</v>
      </c>
    </row>
    <row r="19" spans="1:3" hidden="1" x14ac:dyDescent="0.25">
      <c r="A19" s="1" t="s">
        <v>139</v>
      </c>
      <c r="C19" s="1" t="str">
        <f t="shared" si="0"/>
        <v>- lipasa</v>
      </c>
    </row>
    <row r="20" spans="1:3" hidden="1" x14ac:dyDescent="0.25">
      <c r="A20" s="1" t="s">
        <v>140</v>
      </c>
      <c r="C20" s="1" t="str">
        <f t="shared" si="0"/>
        <v>- sodio</v>
      </c>
    </row>
    <row r="21" spans="1:3" hidden="1" x14ac:dyDescent="0.25">
      <c r="A21" s="1" t="s">
        <v>141</v>
      </c>
      <c r="C21" s="1" t="str">
        <f t="shared" si="0"/>
        <v>- potasio</v>
      </c>
    </row>
    <row r="22" spans="1:3" hidden="1" x14ac:dyDescent="0.25">
      <c r="A22" s="1" t="s">
        <v>142</v>
      </c>
      <c r="C22" s="1" t="str">
        <f t="shared" si="0"/>
        <v>- cloro</v>
      </c>
    </row>
    <row r="23" spans="1:3" hidden="1" x14ac:dyDescent="0.25">
      <c r="A23" s="1" t="s">
        <v>143</v>
      </c>
      <c r="C23" s="1" t="str">
        <f t="shared" si="0"/>
        <v>- calcio</v>
      </c>
    </row>
    <row r="24" spans="1:3" hidden="1" x14ac:dyDescent="0.25">
      <c r="A24" s="1" t="s">
        <v>144</v>
      </c>
      <c r="C24" s="1" t="str">
        <f t="shared" si="0"/>
        <v>- fosforo</v>
      </c>
    </row>
    <row r="25" spans="1:3" hidden="1" x14ac:dyDescent="0.25">
      <c r="A25" s="1" t="s">
        <v>145</v>
      </c>
      <c r="C25" s="1" t="str">
        <f t="shared" si="0"/>
        <v>- magnesio</v>
      </c>
    </row>
    <row r="26" spans="1:3" hidden="1" x14ac:dyDescent="0.25">
      <c r="A26" s="1" t="s">
        <v>146</v>
      </c>
      <c r="C26" s="1" t="str">
        <f t="shared" si="0"/>
        <v>- hierro</v>
      </c>
    </row>
    <row r="27" spans="1:3" hidden="1" x14ac:dyDescent="0.25">
      <c r="A27" s="1" t="s">
        <v>148</v>
      </c>
      <c r="C27" s="1" t="str">
        <f t="shared" si="0"/>
        <v>- densidad_orina</v>
      </c>
    </row>
    <row r="28" spans="1:3" hidden="1" x14ac:dyDescent="0.25">
      <c r="A28" s="1" t="s">
        <v>149</v>
      </c>
      <c r="C28" s="1" t="str">
        <f t="shared" si="0"/>
        <v>- ph_orina</v>
      </c>
    </row>
    <row r="29" spans="1:3" hidden="1" x14ac:dyDescent="0.25">
      <c r="A29" s="1" t="s">
        <v>150</v>
      </c>
      <c r="C29" s="1" t="str">
        <f t="shared" si="0"/>
        <v>- hemoglobina_orina</v>
      </c>
    </row>
    <row r="30" spans="1:3" hidden="1" x14ac:dyDescent="0.25">
      <c r="A30" s="1" t="s">
        <v>151</v>
      </c>
      <c r="C30" s="1" t="str">
        <f t="shared" si="0"/>
        <v>- leucocitos_orina</v>
      </c>
    </row>
    <row r="31" spans="1:3" hidden="1" x14ac:dyDescent="0.25">
      <c r="A31" s="1" t="s">
        <v>152</v>
      </c>
      <c r="C31" s="1" t="str">
        <f t="shared" si="0"/>
        <v>- nitritos_orina</v>
      </c>
    </row>
    <row r="32" spans="1:3" x14ac:dyDescent="0.25">
      <c r="A32" s="1" t="s">
        <v>153</v>
      </c>
      <c r="C32" s="1" t="str">
        <f t="shared" si="0"/>
        <v>- albumina_orina</v>
      </c>
    </row>
    <row r="33" spans="1:3" hidden="1" x14ac:dyDescent="0.25">
      <c r="A33" s="1" t="s">
        <v>154</v>
      </c>
      <c r="C33" s="1" t="str">
        <f t="shared" si="0"/>
        <v>- bilirrubina_orina</v>
      </c>
    </row>
    <row r="34" spans="1:3" hidden="1" x14ac:dyDescent="0.25">
      <c r="A34" s="1" t="s">
        <v>155</v>
      </c>
      <c r="C34" s="1" t="str">
        <f t="shared" si="0"/>
        <v>- cetonas_orina</v>
      </c>
    </row>
    <row r="35" spans="1:3" hidden="1" x14ac:dyDescent="0.25">
      <c r="A35" s="1" t="s">
        <v>156</v>
      </c>
      <c r="C35" s="1" t="str">
        <f t="shared" si="0"/>
        <v>- urobilinogeno_orina</v>
      </c>
    </row>
    <row r="36" spans="1:3" hidden="1" x14ac:dyDescent="0.25">
      <c r="A36" s="1" t="s">
        <v>157</v>
      </c>
      <c r="C36" s="1" t="str">
        <f t="shared" si="0"/>
        <v>- glucosa_orina</v>
      </c>
    </row>
    <row r="37" spans="1:3" hidden="1" x14ac:dyDescent="0.25">
      <c r="A37" s="1" t="s">
        <v>158</v>
      </c>
      <c r="C37" s="1" t="str">
        <f t="shared" si="0"/>
        <v>- hematies_sed</v>
      </c>
    </row>
    <row r="38" spans="1:3" hidden="1" x14ac:dyDescent="0.25">
      <c r="A38" s="1" t="s">
        <v>159</v>
      </c>
      <c r="C38" s="1" t="str">
        <f t="shared" si="0"/>
        <v>- leucocitos_sed</v>
      </c>
    </row>
    <row r="39" spans="1:3" hidden="1" x14ac:dyDescent="0.25">
      <c r="A39" s="1" t="s">
        <v>160</v>
      </c>
      <c r="C39" s="1" t="str">
        <f t="shared" si="0"/>
        <v>- bacterias_sed</v>
      </c>
    </row>
    <row r="40" spans="1:3" hidden="1" x14ac:dyDescent="0.25">
      <c r="A40" s="1" t="s">
        <v>161</v>
      </c>
      <c r="C40" s="1" t="str">
        <f t="shared" si="0"/>
        <v>- celulas_epiteliales_sed</v>
      </c>
    </row>
    <row r="41" spans="1:3" hidden="1" x14ac:dyDescent="0.25">
      <c r="A41" s="1" t="s">
        <v>162</v>
      </c>
      <c r="C41" s="1" t="str">
        <f t="shared" si="0"/>
        <v>- cilindros_hialinos_sed</v>
      </c>
    </row>
    <row r="42" spans="1:3" hidden="1" x14ac:dyDescent="0.25">
      <c r="A42" s="1" t="s">
        <v>163</v>
      </c>
      <c r="C42" s="1" t="str">
        <f t="shared" si="0"/>
        <v>- precipitados_urat_sed</v>
      </c>
    </row>
    <row r="43" spans="1:3" hidden="1" x14ac:dyDescent="0.25">
      <c r="A43" s="1" t="s">
        <v>164</v>
      </c>
      <c r="C43" s="1" t="str">
        <f t="shared" si="0"/>
        <v>- oxalato_calcico_sed</v>
      </c>
    </row>
    <row r="44" spans="1:3" hidden="1" x14ac:dyDescent="0.25">
      <c r="A44" s="1" t="s">
        <v>165</v>
      </c>
      <c r="C44" s="1" t="str">
        <f t="shared" si="0"/>
        <v>- fibra_mucoide_sed</v>
      </c>
    </row>
    <row r="45" spans="1:3" hidden="1" x14ac:dyDescent="0.25">
      <c r="A45" s="1" t="s">
        <v>166</v>
      </c>
      <c r="C45" s="1" t="str">
        <f t="shared" si="0"/>
        <v>- creatinina_orina</v>
      </c>
    </row>
    <row r="46" spans="1:3" x14ac:dyDescent="0.25">
      <c r="A46" s="1" t="s">
        <v>153</v>
      </c>
      <c r="C46" s="1" t="str">
        <f t="shared" si="0"/>
        <v>- albumina_orina</v>
      </c>
    </row>
    <row r="47" spans="1:3" hidden="1" x14ac:dyDescent="0.25">
      <c r="A47" s="1" t="s">
        <v>167</v>
      </c>
      <c r="C47" s="1" t="str">
        <f t="shared" si="0"/>
        <v>- indice_albumina_creatinina</v>
      </c>
    </row>
    <row r="48" spans="1:3" hidden="1" x14ac:dyDescent="0.25">
      <c r="A48" s="1" t="s">
        <v>169</v>
      </c>
      <c r="C48" s="1" t="str">
        <f t="shared" si="0"/>
        <v>- albumina_porcentaje</v>
      </c>
    </row>
    <row r="49" spans="1:3" hidden="1" x14ac:dyDescent="0.25">
      <c r="A49" s="1" t="s">
        <v>170</v>
      </c>
      <c r="C49" s="1" t="str">
        <f t="shared" si="0"/>
        <v>- alfa1_globulina</v>
      </c>
    </row>
    <row r="50" spans="1:3" hidden="1" x14ac:dyDescent="0.25">
      <c r="A50" s="1" t="s">
        <v>171</v>
      </c>
      <c r="C50" s="1" t="str">
        <f t="shared" si="0"/>
        <v>- alfa2_globulina</v>
      </c>
    </row>
    <row r="51" spans="1:3" hidden="1" x14ac:dyDescent="0.25">
      <c r="A51" s="1" t="s">
        <v>172</v>
      </c>
      <c r="C51" s="1" t="str">
        <f t="shared" si="0"/>
        <v>- beta_globulina</v>
      </c>
    </row>
    <row r="52" spans="1:3" hidden="1" x14ac:dyDescent="0.25">
      <c r="A52" s="1" t="s">
        <v>173</v>
      </c>
      <c r="C52" s="1" t="str">
        <f t="shared" si="0"/>
        <v>- gamma_globulina</v>
      </c>
    </row>
    <row r="53" spans="1:3" hidden="1" x14ac:dyDescent="0.25">
      <c r="A53" s="1" t="s">
        <v>174</v>
      </c>
      <c r="C53" s="1" t="str">
        <f t="shared" si="0"/>
        <v>- indice_albumina_globulinas</v>
      </c>
    </row>
    <row r="54" spans="1:3" hidden="1" x14ac:dyDescent="0.25">
      <c r="A54" s="1" t="s">
        <v>175</v>
      </c>
      <c r="C54" s="1" t="str">
        <f t="shared" si="0"/>
        <v>- prealbumina</v>
      </c>
    </row>
    <row r="55" spans="1:3" hidden="1" x14ac:dyDescent="0.25">
      <c r="A55" s="1" t="s">
        <v>176</v>
      </c>
      <c r="C55" s="1" t="str">
        <f t="shared" si="0"/>
        <v>- ferritina</v>
      </c>
    </row>
    <row r="56" spans="1:3" hidden="1" x14ac:dyDescent="0.25">
      <c r="A56" s="1" t="s">
        <v>177</v>
      </c>
      <c r="C56" s="1" t="str">
        <f t="shared" si="0"/>
        <v>- transferrina</v>
      </c>
    </row>
    <row r="57" spans="1:3" hidden="1" x14ac:dyDescent="0.25">
      <c r="A57" s="1" t="s">
        <v>178</v>
      </c>
      <c r="C57" s="1" t="str">
        <f t="shared" si="0"/>
        <v>- capacidad_ligar_hierro</v>
      </c>
    </row>
    <row r="58" spans="1:3" hidden="1" x14ac:dyDescent="0.25">
      <c r="A58" s="1" t="s">
        <v>179</v>
      </c>
      <c r="C58" s="1" t="str">
        <f t="shared" si="0"/>
        <v>- saturacion_transferrina</v>
      </c>
    </row>
    <row r="59" spans="1:3" hidden="1" x14ac:dyDescent="0.25">
      <c r="A59" s="1" t="s">
        <v>180</v>
      </c>
      <c r="C59" s="1" t="str">
        <f t="shared" si="0"/>
        <v>- col_ldl</v>
      </c>
    </row>
    <row r="60" spans="1:3" hidden="1" x14ac:dyDescent="0.25">
      <c r="A60" s="1" t="s">
        <v>182</v>
      </c>
      <c r="C60" s="1" t="str">
        <f t="shared" si="0"/>
        <v>- col_hdl</v>
      </c>
    </row>
    <row r="61" spans="1:3" hidden="1" x14ac:dyDescent="0.25">
      <c r="A61" s="1" t="s">
        <v>183</v>
      </c>
      <c r="C61" s="1" t="str">
        <f t="shared" si="0"/>
        <v>- apolipoproteina_a1</v>
      </c>
    </row>
    <row r="62" spans="1:3" hidden="1" x14ac:dyDescent="0.25">
      <c r="A62" s="1" t="s">
        <v>184</v>
      </c>
      <c r="C62" s="1" t="str">
        <f t="shared" si="0"/>
        <v>- apolipoproteina_b</v>
      </c>
    </row>
    <row r="63" spans="1:3" hidden="1" x14ac:dyDescent="0.25">
      <c r="A63" s="1" t="s">
        <v>185</v>
      </c>
      <c r="C63" s="1" t="str">
        <f t="shared" si="0"/>
        <v>- homocisteina_basal</v>
      </c>
    </row>
    <row r="64" spans="1:3" hidden="1" x14ac:dyDescent="0.25">
      <c r="A64" s="1" t="s">
        <v>186</v>
      </c>
      <c r="C64" s="1" t="str">
        <f t="shared" si="0"/>
        <v>- ac_folico_intraeritrocitos</v>
      </c>
    </row>
    <row r="65" spans="1:3" hidden="1" x14ac:dyDescent="0.25">
      <c r="A65" s="1" t="s">
        <v>187</v>
      </c>
      <c r="C65" s="1" t="str">
        <f t="shared" si="0"/>
        <v>- vit_b12</v>
      </c>
    </row>
    <row r="66" spans="1:3" hidden="1" x14ac:dyDescent="0.25">
      <c r="A66" s="1" t="s">
        <v>188</v>
      </c>
      <c r="C66" s="1" t="str">
        <f t="shared" si="0"/>
        <v>- ac_folico_serico</v>
      </c>
    </row>
    <row r="67" spans="1:3" hidden="1" x14ac:dyDescent="0.25">
      <c r="A67" s="1" t="s">
        <v>189</v>
      </c>
      <c r="C67" s="1" t="str">
        <f t="shared" ref="C67:C130" si="1">"- "&amp;A67</f>
        <v>- selenio</v>
      </c>
    </row>
    <row r="68" spans="1:3" hidden="1" x14ac:dyDescent="0.25">
      <c r="A68" s="1" t="s">
        <v>190</v>
      </c>
      <c r="C68" s="1" t="str">
        <f t="shared" si="1"/>
        <v>- zinc</v>
      </c>
    </row>
    <row r="69" spans="1:3" hidden="1" x14ac:dyDescent="0.25">
      <c r="A69" s="1" t="s">
        <v>191</v>
      </c>
      <c r="C69" s="1" t="str">
        <f t="shared" si="1"/>
        <v>- cobre</v>
      </c>
    </row>
    <row r="70" spans="1:3" hidden="1" x14ac:dyDescent="0.25">
      <c r="A70" s="1" t="s">
        <v>192</v>
      </c>
      <c r="C70" s="1" t="str">
        <f t="shared" si="1"/>
        <v>- leucocitos</v>
      </c>
    </row>
    <row r="71" spans="1:3" hidden="1" x14ac:dyDescent="0.25">
      <c r="A71" s="1" t="s">
        <v>193</v>
      </c>
      <c r="C71" s="1" t="str">
        <f t="shared" si="1"/>
        <v>- hematies</v>
      </c>
    </row>
    <row r="72" spans="1:3" hidden="1" x14ac:dyDescent="0.25">
      <c r="A72" s="1" t="s">
        <v>194</v>
      </c>
      <c r="C72" s="1" t="str">
        <f t="shared" si="1"/>
        <v>- hemoglobina</v>
      </c>
    </row>
    <row r="73" spans="1:3" hidden="1" x14ac:dyDescent="0.25">
      <c r="A73" s="1" t="s">
        <v>195</v>
      </c>
      <c r="C73" s="1" t="str">
        <f t="shared" si="1"/>
        <v>- hematocrito</v>
      </c>
    </row>
    <row r="74" spans="1:3" hidden="1" x14ac:dyDescent="0.25">
      <c r="A74" s="1" t="s">
        <v>196</v>
      </c>
      <c r="C74" s="1" t="str">
        <f t="shared" si="1"/>
        <v>- vcm</v>
      </c>
    </row>
    <row r="75" spans="1:3" hidden="1" x14ac:dyDescent="0.25">
      <c r="A75" s="1" t="s">
        <v>197</v>
      </c>
      <c r="C75" s="1" t="str">
        <f t="shared" si="1"/>
        <v>- hcm</v>
      </c>
    </row>
    <row r="76" spans="1:3" hidden="1" x14ac:dyDescent="0.25">
      <c r="A76" s="1" t="s">
        <v>199</v>
      </c>
      <c r="C76" s="1" t="str">
        <f t="shared" si="1"/>
        <v>- chcm</v>
      </c>
    </row>
    <row r="77" spans="1:3" hidden="1" x14ac:dyDescent="0.25">
      <c r="A77" s="1" t="s">
        <v>200</v>
      </c>
      <c r="C77" s="1" t="str">
        <f t="shared" si="1"/>
        <v>- ade</v>
      </c>
    </row>
    <row r="78" spans="1:3" hidden="1" x14ac:dyDescent="0.25">
      <c r="A78" s="1" t="s">
        <v>206</v>
      </c>
      <c r="C78" s="1" t="str">
        <f t="shared" si="1"/>
        <v>- neutrofilos_porcentaje</v>
      </c>
    </row>
    <row r="79" spans="1:3" hidden="1" x14ac:dyDescent="0.25">
      <c r="A79" s="1" t="s">
        <v>207</v>
      </c>
      <c r="C79" s="1" t="str">
        <f t="shared" si="1"/>
        <v>- eosinofilos_porcentaje</v>
      </c>
    </row>
    <row r="80" spans="1:3" hidden="1" x14ac:dyDescent="0.25">
      <c r="A80" s="1" t="s">
        <v>208</v>
      </c>
      <c r="C80" s="1" t="str">
        <f t="shared" si="1"/>
        <v>- basofilos_porcentaje</v>
      </c>
    </row>
    <row r="81" spans="1:3" hidden="1" x14ac:dyDescent="0.25">
      <c r="A81" s="1" t="s">
        <v>209</v>
      </c>
      <c r="C81" s="1" t="str">
        <f t="shared" si="1"/>
        <v>- linfocitos_porcentaje</v>
      </c>
    </row>
    <row r="82" spans="1:3" hidden="1" x14ac:dyDescent="0.25">
      <c r="A82" s="1" t="s">
        <v>210</v>
      </c>
      <c r="C82" s="1" t="str">
        <f t="shared" si="1"/>
        <v>- monocitos_porcentaje</v>
      </c>
    </row>
    <row r="83" spans="1:3" hidden="1" x14ac:dyDescent="0.25">
      <c r="A83" s="1" t="s">
        <v>212</v>
      </c>
      <c r="C83" s="1" t="str">
        <f t="shared" si="1"/>
        <v>- neutrofilos</v>
      </c>
    </row>
    <row r="84" spans="1:3" hidden="1" x14ac:dyDescent="0.25">
      <c r="A84" s="1" t="s">
        <v>213</v>
      </c>
      <c r="C84" s="1" t="str">
        <f t="shared" si="1"/>
        <v>- eosinofilos</v>
      </c>
    </row>
    <row r="85" spans="1:3" hidden="1" x14ac:dyDescent="0.25">
      <c r="A85" s="1" t="s">
        <v>214</v>
      </c>
      <c r="C85" s="1" t="str">
        <f t="shared" si="1"/>
        <v>- basofilos</v>
      </c>
    </row>
    <row r="86" spans="1:3" hidden="1" x14ac:dyDescent="0.25">
      <c r="A86" s="1" t="s">
        <v>215</v>
      </c>
      <c r="C86" s="1" t="str">
        <f t="shared" si="1"/>
        <v>- linfocitos</v>
      </c>
    </row>
    <row r="87" spans="1:3" hidden="1" x14ac:dyDescent="0.25">
      <c r="A87" s="1" t="s">
        <v>216</v>
      </c>
      <c r="C87" s="1" t="str">
        <f t="shared" si="1"/>
        <v>- monocitos</v>
      </c>
    </row>
    <row r="88" spans="1:3" hidden="1" x14ac:dyDescent="0.25">
      <c r="A88" s="1" t="s">
        <v>218</v>
      </c>
      <c r="C88" s="1" t="str">
        <f t="shared" si="1"/>
        <v>- vsg</v>
      </c>
    </row>
    <row r="89" spans="1:3" hidden="1" x14ac:dyDescent="0.25">
      <c r="A89" s="1" t="s">
        <v>219</v>
      </c>
      <c r="C89" s="1" t="str">
        <f t="shared" si="1"/>
        <v>- hemoglobina_glicada</v>
      </c>
    </row>
    <row r="90" spans="1:3" hidden="1" x14ac:dyDescent="0.25">
      <c r="A90" s="1" t="s">
        <v>220</v>
      </c>
      <c r="C90" s="1" t="str">
        <f t="shared" si="1"/>
        <v>- tiempo_protrombina_porcentaje</v>
      </c>
    </row>
    <row r="91" spans="1:3" hidden="1" x14ac:dyDescent="0.25">
      <c r="A91" s="1" t="s">
        <v>221</v>
      </c>
      <c r="C91" s="1" t="str">
        <f t="shared" si="1"/>
        <v>- tiempo_protrombina</v>
      </c>
    </row>
    <row r="92" spans="1:3" hidden="1" x14ac:dyDescent="0.25">
      <c r="A92" s="1" t="s">
        <v>222</v>
      </c>
      <c r="C92" s="1" t="str">
        <f t="shared" si="1"/>
        <v>- inr</v>
      </c>
    </row>
    <row r="93" spans="1:3" hidden="1" x14ac:dyDescent="0.25">
      <c r="A93" s="1" t="s">
        <v>223</v>
      </c>
      <c r="C93" s="1" t="str">
        <f t="shared" si="1"/>
        <v>- tiempo_protrombina_rati</v>
      </c>
    </row>
    <row r="94" spans="1:3" hidden="1" x14ac:dyDescent="0.25">
      <c r="A94" s="1" t="s">
        <v>224</v>
      </c>
      <c r="C94" s="1" t="str">
        <f t="shared" si="1"/>
        <v>- tiempo_tromboplastina</v>
      </c>
    </row>
    <row r="95" spans="1:3" hidden="1" x14ac:dyDescent="0.25">
      <c r="A95" s="1" t="s">
        <v>225</v>
      </c>
      <c r="C95" s="1" t="str">
        <f t="shared" si="1"/>
        <v>- tiempo_tromboplastina_rati</v>
      </c>
    </row>
    <row r="96" spans="1:3" hidden="1" x14ac:dyDescent="0.25">
      <c r="A96" s="1" t="s">
        <v>226</v>
      </c>
      <c r="C96" s="1" t="str">
        <f t="shared" si="1"/>
        <v>- fibrinogeno</v>
      </c>
    </row>
    <row r="97" spans="1:3" hidden="1" x14ac:dyDescent="0.25">
      <c r="A97" s="1" t="s">
        <v>227</v>
      </c>
      <c r="C97" s="1" t="str">
        <f t="shared" si="1"/>
        <v>- tsh</v>
      </c>
    </row>
    <row r="98" spans="1:3" hidden="1" x14ac:dyDescent="0.25">
      <c r="A98" s="1" t="s">
        <v>228</v>
      </c>
      <c r="C98" s="1" t="str">
        <f t="shared" si="1"/>
        <v>- t4</v>
      </c>
    </row>
    <row r="99" spans="1:3" hidden="1" x14ac:dyDescent="0.25">
      <c r="A99" s="1" t="s">
        <v>229</v>
      </c>
      <c r="C99" s="1" t="str">
        <f t="shared" si="1"/>
        <v>- t3</v>
      </c>
    </row>
    <row r="100" spans="1:3" hidden="1" x14ac:dyDescent="0.25">
      <c r="A100" s="1" t="s">
        <v>231</v>
      </c>
      <c r="C100" s="1" t="str">
        <f t="shared" si="1"/>
        <v>- cortisol</v>
      </c>
    </row>
    <row r="101" spans="1:3" hidden="1" x14ac:dyDescent="0.25">
      <c r="A101" s="1" t="s">
        <v>232</v>
      </c>
      <c r="C101" s="1" t="str">
        <f t="shared" si="1"/>
        <v>- insulina</v>
      </c>
    </row>
    <row r="102" spans="1:3" hidden="1" x14ac:dyDescent="0.25">
      <c r="A102" s="1" t="s">
        <v>233</v>
      </c>
      <c r="C102" s="1" t="str">
        <f t="shared" si="1"/>
        <v>- vit_d3</v>
      </c>
    </row>
    <row r="103" spans="1:3" hidden="1" x14ac:dyDescent="0.25">
      <c r="A103" s="1" t="s">
        <v>234</v>
      </c>
      <c r="C103" s="1" t="str">
        <f t="shared" si="1"/>
        <v>- enf</v>
      </c>
    </row>
    <row r="104" spans="1:3" hidden="1" x14ac:dyDescent="0.25">
      <c r="A104" s="1" t="s">
        <v>236</v>
      </c>
      <c r="C104" s="1" t="str">
        <f t="shared" si="1"/>
        <v>- antibioticos</v>
      </c>
    </row>
    <row r="105" spans="1:3" hidden="1" x14ac:dyDescent="0.25">
      <c r="A105" s="1" t="s">
        <v>237</v>
      </c>
      <c r="C105" s="1" t="str">
        <f t="shared" si="1"/>
        <v>- medicamentos</v>
      </c>
    </row>
    <row r="106" spans="1:3" hidden="1" x14ac:dyDescent="0.25">
      <c r="A106" s="1" t="s">
        <v>277</v>
      </c>
      <c r="C106" s="1" t="str">
        <f t="shared" si="1"/>
        <v>- bristol</v>
      </c>
    </row>
    <row r="107" spans="1:3" hidden="1" x14ac:dyDescent="0.25">
      <c r="A107" s="1" t="s">
        <v>280</v>
      </c>
      <c r="C107" s="1" t="str">
        <f t="shared" si="1"/>
        <v>- PAS_izq</v>
      </c>
    </row>
    <row r="108" spans="1:3" hidden="1" x14ac:dyDescent="0.25">
      <c r="A108" s="1" t="s">
        <v>281</v>
      </c>
      <c r="C108" s="1" t="str">
        <f t="shared" si="1"/>
        <v>- PAD_izq</v>
      </c>
    </row>
    <row r="109" spans="1:3" hidden="1" x14ac:dyDescent="0.25">
      <c r="A109" s="1" t="s">
        <v>282</v>
      </c>
      <c r="C109" s="1" t="str">
        <f t="shared" si="1"/>
        <v>- PAS_der</v>
      </c>
    </row>
    <row r="110" spans="1:3" hidden="1" x14ac:dyDescent="0.25">
      <c r="A110" s="1" t="s">
        <v>283</v>
      </c>
      <c r="C110" s="1" t="str">
        <f t="shared" si="1"/>
        <v>- PAD_der</v>
      </c>
    </row>
    <row r="111" spans="1:3" hidden="1" x14ac:dyDescent="0.25">
      <c r="A111" s="1" t="s">
        <v>290</v>
      </c>
      <c r="C111" s="1" t="str">
        <f t="shared" si="1"/>
        <v>- peso</v>
      </c>
    </row>
    <row r="112" spans="1:3" hidden="1" x14ac:dyDescent="0.25">
      <c r="A112" s="1" t="s">
        <v>291</v>
      </c>
      <c r="C112" s="1" t="str">
        <f t="shared" si="1"/>
        <v>- talla</v>
      </c>
    </row>
    <row r="113" spans="1:3" hidden="1" x14ac:dyDescent="0.25">
      <c r="A113" s="1" t="s">
        <v>292</v>
      </c>
      <c r="C113" s="1" t="str">
        <f t="shared" si="1"/>
        <v>- imc</v>
      </c>
    </row>
    <row r="114" spans="1:3" hidden="1" x14ac:dyDescent="0.25">
      <c r="A114" s="1" t="s">
        <v>293</v>
      </c>
      <c r="C114" s="1" t="str">
        <f t="shared" si="1"/>
        <v>- grasa</v>
      </c>
    </row>
    <row r="115" spans="1:3" hidden="1" x14ac:dyDescent="0.25">
      <c r="A115" s="1" t="s">
        <v>294</v>
      </c>
      <c r="C115" s="1" t="str">
        <f t="shared" si="1"/>
        <v>- musculo</v>
      </c>
    </row>
    <row r="116" spans="1:3" hidden="1" x14ac:dyDescent="0.25">
      <c r="A116" s="1" t="s">
        <v>295</v>
      </c>
      <c r="C116" s="1" t="str">
        <f t="shared" si="1"/>
        <v>- grasa_vic</v>
      </c>
    </row>
    <row r="117" spans="1:3" hidden="1" x14ac:dyDescent="0.25">
      <c r="A117" s="1" t="s">
        <v>296</v>
      </c>
      <c r="C117" s="1" t="str">
        <f t="shared" si="1"/>
        <v>- tmb</v>
      </c>
    </row>
    <row r="118" spans="1:3" hidden="1" x14ac:dyDescent="0.25">
      <c r="A118" s="1" t="s">
        <v>305</v>
      </c>
      <c r="C118" s="1" t="str">
        <f t="shared" si="1"/>
        <v>- tiempo_sedentario</v>
      </c>
    </row>
    <row r="119" spans="1:3" hidden="1" x14ac:dyDescent="0.25">
      <c r="A119" s="1" t="s">
        <v>306</v>
      </c>
      <c r="C119" s="1" t="str">
        <f t="shared" si="1"/>
        <v>- af_ligera</v>
      </c>
    </row>
    <row r="120" spans="1:3" hidden="1" x14ac:dyDescent="0.25">
      <c r="A120" s="1" t="s">
        <v>307</v>
      </c>
      <c r="C120" s="1" t="str">
        <f t="shared" si="1"/>
        <v>- af_mv</v>
      </c>
    </row>
    <row r="121" spans="1:3" hidden="1" x14ac:dyDescent="0.25">
      <c r="A121" s="1" t="s">
        <v>308</v>
      </c>
      <c r="C121" s="1" t="str">
        <f t="shared" si="1"/>
        <v>- af_ligera_porcentaje</v>
      </c>
    </row>
    <row r="122" spans="1:3" hidden="1" x14ac:dyDescent="0.25">
      <c r="A122" s="1" t="s">
        <v>309</v>
      </c>
      <c r="C122" s="1" t="str">
        <f t="shared" si="1"/>
        <v>- af_mv_procentaje</v>
      </c>
    </row>
    <row r="123" spans="1:3" hidden="1" x14ac:dyDescent="0.25">
      <c r="A123" s="1" t="s">
        <v>310</v>
      </c>
      <c r="C123" s="1" t="str">
        <f t="shared" si="1"/>
        <v>- pasos_dia</v>
      </c>
    </row>
    <row r="124" spans="1:3" hidden="1" x14ac:dyDescent="0.25">
      <c r="A124" s="1" t="s">
        <v>311</v>
      </c>
      <c r="C124" s="1" t="str">
        <f t="shared" si="1"/>
        <v>- eficiencia_sueño</v>
      </c>
    </row>
    <row r="125" spans="1:3" hidden="1" x14ac:dyDescent="0.25">
      <c r="A125" s="1" t="s">
        <v>312</v>
      </c>
      <c r="C125" s="1" t="str">
        <f t="shared" si="1"/>
        <v>- min_cama</v>
      </c>
    </row>
    <row r="126" spans="1:3" hidden="1" x14ac:dyDescent="0.25">
      <c r="A126" s="1" t="s">
        <v>313</v>
      </c>
      <c r="C126" s="1" t="str">
        <f t="shared" si="1"/>
        <v>- min_dormir</v>
      </c>
    </row>
    <row r="127" spans="1:3" hidden="1" x14ac:dyDescent="0.25">
      <c r="A127" s="1" t="s">
        <v>314</v>
      </c>
      <c r="C127" s="1" t="str">
        <f t="shared" si="1"/>
        <v>- waso</v>
      </c>
    </row>
    <row r="128" spans="1:3" hidden="1" x14ac:dyDescent="0.25">
      <c r="A128" s="1" t="s">
        <v>315</v>
      </c>
      <c r="C128" s="1" t="str">
        <f t="shared" si="1"/>
        <v>- num_despertares</v>
      </c>
    </row>
    <row r="129" spans="1:3" hidden="1" x14ac:dyDescent="0.25">
      <c r="A129" s="1" t="s">
        <v>316</v>
      </c>
      <c r="C129" s="1" t="str">
        <f t="shared" si="1"/>
        <v>- duracion_despertares</v>
      </c>
    </row>
    <row r="130" spans="1:3" hidden="1" x14ac:dyDescent="0.25">
      <c r="A130" s="1" t="s">
        <v>317</v>
      </c>
      <c r="C130" s="1" t="str">
        <f t="shared" si="1"/>
        <v>- ind_frag_sueño</v>
      </c>
    </row>
    <row r="131" spans="1:3" hidden="1" x14ac:dyDescent="0.25">
      <c r="A131" s="1" t="s">
        <v>318</v>
      </c>
      <c r="C131" s="1" t="str">
        <f t="shared" ref="C131:C194" si="2">"- "&amp;A131</f>
        <v>- ind_mov</v>
      </c>
    </row>
    <row r="132" spans="1:3" hidden="1" x14ac:dyDescent="0.25">
      <c r="A132" s="1" t="s">
        <v>319</v>
      </c>
      <c r="C132" s="1" t="str">
        <f t="shared" si="2"/>
        <v>- ind_frag</v>
      </c>
    </row>
    <row r="133" spans="1:3" hidden="1" x14ac:dyDescent="0.25">
      <c r="A133" s="1" t="s">
        <v>320</v>
      </c>
      <c r="C133" s="1" t="str">
        <f t="shared" si="2"/>
        <v>- ipaq_dias_int</v>
      </c>
    </row>
    <row r="134" spans="1:3" hidden="1" x14ac:dyDescent="0.25">
      <c r="A134" s="1" t="s">
        <v>321</v>
      </c>
      <c r="C134" s="1" t="str">
        <f t="shared" si="2"/>
        <v>- ipaq_min_int</v>
      </c>
    </row>
    <row r="135" spans="1:3" hidden="1" x14ac:dyDescent="0.25">
      <c r="A135" s="1" t="s">
        <v>322</v>
      </c>
      <c r="C135" s="1" t="str">
        <f t="shared" si="2"/>
        <v>- ipaq_dias_mod</v>
      </c>
    </row>
    <row r="136" spans="1:3" hidden="1" x14ac:dyDescent="0.25">
      <c r="A136" s="1" t="s">
        <v>323</v>
      </c>
      <c r="C136" s="1" t="str">
        <f t="shared" si="2"/>
        <v>- ipaq_min_mod</v>
      </c>
    </row>
    <row r="137" spans="1:3" hidden="1" x14ac:dyDescent="0.25">
      <c r="A137" s="1" t="s">
        <v>324</v>
      </c>
      <c r="C137" s="1" t="str">
        <f t="shared" si="2"/>
        <v>- ipaq_dias_cam</v>
      </c>
    </row>
    <row r="138" spans="1:3" hidden="1" x14ac:dyDescent="0.25">
      <c r="A138" s="1" t="s">
        <v>325</v>
      </c>
      <c r="C138" s="1" t="str">
        <f t="shared" si="2"/>
        <v>- ipaq_min_cam</v>
      </c>
    </row>
    <row r="139" spans="1:3" hidden="1" x14ac:dyDescent="0.25">
      <c r="A139" s="1" t="s">
        <v>326</v>
      </c>
      <c r="C139" s="1" t="str">
        <f t="shared" si="2"/>
        <v>- ipaq_horas_sent</v>
      </c>
    </row>
    <row r="140" spans="1:3" hidden="1" x14ac:dyDescent="0.25">
      <c r="A140" s="1" t="s">
        <v>327</v>
      </c>
      <c r="C140" s="1" t="str">
        <f t="shared" si="2"/>
        <v>- ipaq_mets</v>
      </c>
    </row>
    <row r="141" spans="1:3" hidden="1" x14ac:dyDescent="0.25">
      <c r="A141" s="1" t="s">
        <v>328</v>
      </c>
      <c r="C141" s="1" t="str">
        <f t="shared" si="2"/>
        <v>- ipaq_nivel_af</v>
      </c>
    </row>
    <row r="142" spans="1:3" hidden="1" x14ac:dyDescent="0.25">
      <c r="A142" s="1" t="s">
        <v>329</v>
      </c>
      <c r="C142" s="1" t="str">
        <f t="shared" si="2"/>
        <v>- d2_con_pd</v>
      </c>
    </row>
    <row r="143" spans="1:3" hidden="1" x14ac:dyDescent="0.25">
      <c r="A143" s="1" t="s">
        <v>330</v>
      </c>
      <c r="C143" s="1" t="str">
        <f t="shared" si="2"/>
        <v>- d2_con_pc</v>
      </c>
    </row>
    <row r="144" spans="1:3" hidden="1" x14ac:dyDescent="0.25">
      <c r="A144" s="1" t="s">
        <v>331</v>
      </c>
      <c r="C144" s="1" t="str">
        <f t="shared" si="2"/>
        <v>- d2_con_pt</v>
      </c>
    </row>
    <row r="145" spans="1:3" hidden="1" x14ac:dyDescent="0.25">
      <c r="A145" s="1" t="s">
        <v>332</v>
      </c>
      <c r="C145" s="1" t="str">
        <f t="shared" si="2"/>
        <v>- d2_vt_pd</v>
      </c>
    </row>
    <row r="146" spans="1:3" hidden="1" x14ac:dyDescent="0.25">
      <c r="A146" s="1" t="s">
        <v>333</v>
      </c>
      <c r="C146" s="1" t="str">
        <f t="shared" si="2"/>
        <v>- d2_vt_pc</v>
      </c>
    </row>
    <row r="147" spans="1:3" hidden="1" x14ac:dyDescent="0.25">
      <c r="A147" s="1" t="s">
        <v>334</v>
      </c>
      <c r="C147" s="1" t="str">
        <f t="shared" si="2"/>
        <v>- d2_vt_pt</v>
      </c>
    </row>
    <row r="148" spans="1:3" hidden="1" x14ac:dyDescent="0.25">
      <c r="A148" s="1" t="s">
        <v>335</v>
      </c>
      <c r="C148" s="1" t="str">
        <f t="shared" si="2"/>
        <v>- d2_e_pd</v>
      </c>
    </row>
    <row r="149" spans="1:3" hidden="1" x14ac:dyDescent="0.25">
      <c r="A149" s="1" t="s">
        <v>336</v>
      </c>
      <c r="C149" s="1" t="str">
        <f t="shared" si="2"/>
        <v>- d2_e_pc</v>
      </c>
    </row>
    <row r="150" spans="1:3" hidden="1" x14ac:dyDescent="0.25">
      <c r="A150" s="1" t="s">
        <v>337</v>
      </c>
      <c r="C150" s="1" t="str">
        <f t="shared" si="2"/>
        <v>- d2_e_pt</v>
      </c>
    </row>
    <row r="151" spans="1:3" hidden="1" x14ac:dyDescent="0.25">
      <c r="A151" s="1" t="s">
        <v>338</v>
      </c>
      <c r="C151" s="1" t="str">
        <f t="shared" si="2"/>
        <v>- d2_con1_pd</v>
      </c>
    </row>
    <row r="152" spans="1:3" hidden="1" x14ac:dyDescent="0.25">
      <c r="A152" s="1" t="s">
        <v>339</v>
      </c>
      <c r="C152" s="1" t="str">
        <f t="shared" si="2"/>
        <v>- d2_con2_pd</v>
      </c>
    </row>
    <row r="153" spans="1:3" hidden="1" x14ac:dyDescent="0.25">
      <c r="A153" s="1" t="s">
        <v>340</v>
      </c>
      <c r="C153" s="1" t="str">
        <f t="shared" si="2"/>
        <v>- d2_con3_pd</v>
      </c>
    </row>
    <row r="154" spans="1:3" hidden="1" x14ac:dyDescent="0.25">
      <c r="A154" s="1" t="s">
        <v>341</v>
      </c>
      <c r="C154" s="1" t="str">
        <f t="shared" si="2"/>
        <v>- d2_con4_pd</v>
      </c>
    </row>
    <row r="155" spans="1:3" hidden="1" x14ac:dyDescent="0.25">
      <c r="A155" s="1" t="s">
        <v>342</v>
      </c>
      <c r="C155" s="1" t="str">
        <f t="shared" si="2"/>
        <v>- wcst_años_educacion</v>
      </c>
    </row>
    <row r="156" spans="1:3" hidden="1" x14ac:dyDescent="0.25">
      <c r="A156" s="1" t="s">
        <v>343</v>
      </c>
      <c r="C156" s="1" t="str">
        <f t="shared" si="2"/>
        <v>- wcst_cc_pd</v>
      </c>
    </row>
    <row r="157" spans="1:3" hidden="1" x14ac:dyDescent="0.25">
      <c r="A157" s="1" t="s">
        <v>344</v>
      </c>
      <c r="C157" s="1" t="str">
        <f t="shared" si="2"/>
        <v>- wcst_cc_t</v>
      </c>
    </row>
    <row r="158" spans="1:3" hidden="1" x14ac:dyDescent="0.25">
      <c r="A158" s="1" t="s">
        <v>345</v>
      </c>
      <c r="C158" s="1" t="str">
        <f t="shared" si="2"/>
        <v>- wcst_ep_pd</v>
      </c>
    </row>
    <row r="159" spans="1:3" hidden="1" x14ac:dyDescent="0.25">
      <c r="A159" s="1" t="s">
        <v>346</v>
      </c>
      <c r="C159" s="1" t="str">
        <f t="shared" si="2"/>
        <v>- wcst_ep_t</v>
      </c>
    </row>
    <row r="160" spans="1:3" hidden="1" x14ac:dyDescent="0.25">
      <c r="A160" s="1" t="s">
        <v>347</v>
      </c>
      <c r="C160" s="1" t="str">
        <f t="shared" si="2"/>
        <v>- wcst_te_pd</v>
      </c>
    </row>
    <row r="161" spans="1:3" hidden="1" x14ac:dyDescent="0.25">
      <c r="A161" s="1" t="s">
        <v>348</v>
      </c>
      <c r="C161" s="1" t="str">
        <f t="shared" si="2"/>
        <v>- wcst_te_t</v>
      </c>
    </row>
    <row r="162" spans="1:3" hidden="1" x14ac:dyDescent="0.25">
      <c r="A162" s="1" t="s">
        <v>349</v>
      </c>
      <c r="C162" s="1" t="str">
        <f t="shared" si="2"/>
        <v>- wcst_pp_pd</v>
      </c>
    </row>
    <row r="163" spans="1:3" hidden="1" x14ac:dyDescent="0.25">
      <c r="A163" s="1" t="s">
        <v>350</v>
      </c>
      <c r="C163" s="1" t="str">
        <f t="shared" si="2"/>
        <v>- wcst_pp_t</v>
      </c>
    </row>
    <row r="164" spans="1:3" hidden="1" x14ac:dyDescent="0.25">
      <c r="A164" s="1" t="s">
        <v>351</v>
      </c>
      <c r="C164" s="1" t="str">
        <f t="shared" si="2"/>
        <v>- wcst_ife_pd</v>
      </c>
    </row>
    <row r="165" spans="1:3" hidden="1" x14ac:dyDescent="0.25">
      <c r="A165" s="1" t="s">
        <v>352</v>
      </c>
      <c r="C165" s="1" t="str">
        <f t="shared" si="2"/>
        <v>- wcst_ife_t</v>
      </c>
    </row>
    <row r="166" spans="1:3" hidden="1" x14ac:dyDescent="0.25">
      <c r="A166" s="1" t="s">
        <v>353</v>
      </c>
      <c r="C166" s="1" t="str">
        <f t="shared" si="2"/>
        <v>- fn_cara</v>
      </c>
    </row>
    <row r="167" spans="1:3" hidden="1" x14ac:dyDescent="0.25">
      <c r="A167" s="1" t="s">
        <v>354</v>
      </c>
      <c r="C167" s="1" t="str">
        <f t="shared" si="2"/>
        <v>- fn_letra</v>
      </c>
    </row>
    <row r="168" spans="1:3" hidden="1" x14ac:dyDescent="0.25">
      <c r="A168" s="1" t="s">
        <v>355</v>
      </c>
      <c r="C168" s="1" t="str">
        <f t="shared" si="2"/>
        <v>- fn_nombre</v>
      </c>
    </row>
    <row r="169" spans="1:3" hidden="1" x14ac:dyDescent="0.25">
      <c r="A169" s="1" t="s">
        <v>356</v>
      </c>
      <c r="C169" s="1" t="str">
        <f t="shared" si="2"/>
        <v>- ad_dietamed</v>
      </c>
    </row>
    <row r="170" spans="1:3" hidden="1" x14ac:dyDescent="0.25">
      <c r="A170" s="1" t="s">
        <v>357</v>
      </c>
      <c r="C170" s="1" t="str">
        <f t="shared" si="2"/>
        <v>- ansiedad</v>
      </c>
    </row>
    <row r="171" spans="1:3" hidden="1" x14ac:dyDescent="0.25">
      <c r="A171" s="1" t="s">
        <v>358</v>
      </c>
      <c r="C171" s="1" t="str">
        <f t="shared" si="2"/>
        <v>- depresion</v>
      </c>
    </row>
    <row r="172" spans="1:3" hidden="1" x14ac:dyDescent="0.25">
      <c r="A172" s="1" t="s">
        <v>359</v>
      </c>
      <c r="C172" s="1" t="str">
        <f t="shared" si="2"/>
        <v>- pgh_h_acostarse</v>
      </c>
    </row>
    <row r="173" spans="1:3" hidden="1" x14ac:dyDescent="0.25">
      <c r="A173" s="1" t="s">
        <v>360</v>
      </c>
      <c r="C173" s="1" t="str">
        <f t="shared" si="2"/>
        <v>- pgh_min_dormirse</v>
      </c>
    </row>
    <row r="174" spans="1:3" hidden="1" x14ac:dyDescent="0.25">
      <c r="A174" s="1" t="s">
        <v>361</v>
      </c>
      <c r="C174" s="1" t="str">
        <f t="shared" si="2"/>
        <v>- pgh_h_levantarse</v>
      </c>
    </row>
    <row r="175" spans="1:3" hidden="1" x14ac:dyDescent="0.25">
      <c r="A175" s="1" t="s">
        <v>362</v>
      </c>
      <c r="C175" s="1" t="str">
        <f t="shared" si="2"/>
        <v>- pgh_h_dormir</v>
      </c>
    </row>
    <row r="176" spans="1:3" hidden="1" x14ac:dyDescent="0.25">
      <c r="A176" s="1" t="s">
        <v>363</v>
      </c>
      <c r="C176" s="1" t="str">
        <f t="shared" si="2"/>
        <v>- pgh_5a</v>
      </c>
    </row>
    <row r="177" spans="1:3" hidden="1" x14ac:dyDescent="0.25">
      <c r="A177" s="1" t="s">
        <v>364</v>
      </c>
      <c r="C177" s="1" t="str">
        <f t="shared" si="2"/>
        <v>- pgh_5b</v>
      </c>
    </row>
    <row r="178" spans="1:3" hidden="1" x14ac:dyDescent="0.25">
      <c r="A178" s="1" t="s">
        <v>365</v>
      </c>
      <c r="C178" s="1" t="str">
        <f t="shared" si="2"/>
        <v>- pgh_5c</v>
      </c>
    </row>
    <row r="179" spans="1:3" hidden="1" x14ac:dyDescent="0.25">
      <c r="A179" s="1" t="s">
        <v>366</v>
      </c>
      <c r="C179" s="1" t="str">
        <f t="shared" si="2"/>
        <v>- pgh_5d</v>
      </c>
    </row>
    <row r="180" spans="1:3" hidden="1" x14ac:dyDescent="0.25">
      <c r="A180" s="1" t="s">
        <v>367</v>
      </c>
      <c r="C180" s="1" t="str">
        <f t="shared" si="2"/>
        <v>- pgh_5e</v>
      </c>
    </row>
    <row r="181" spans="1:3" hidden="1" x14ac:dyDescent="0.25">
      <c r="A181" s="1" t="s">
        <v>368</v>
      </c>
      <c r="C181" s="1" t="str">
        <f t="shared" si="2"/>
        <v>- pgh_5f</v>
      </c>
    </row>
    <row r="182" spans="1:3" hidden="1" x14ac:dyDescent="0.25">
      <c r="A182" s="1" t="s">
        <v>369</v>
      </c>
      <c r="C182" s="1" t="str">
        <f t="shared" si="2"/>
        <v>- pgh_5g</v>
      </c>
    </row>
    <row r="183" spans="1:3" hidden="1" x14ac:dyDescent="0.25">
      <c r="A183" s="1" t="s">
        <v>370</v>
      </c>
      <c r="C183" s="1" t="str">
        <f t="shared" si="2"/>
        <v>- pgh_5h</v>
      </c>
    </row>
    <row r="184" spans="1:3" hidden="1" x14ac:dyDescent="0.25">
      <c r="A184" s="1" t="s">
        <v>371</v>
      </c>
      <c r="C184" s="1" t="str">
        <f t="shared" si="2"/>
        <v>- pgh_5i</v>
      </c>
    </row>
    <row r="185" spans="1:3" hidden="1" x14ac:dyDescent="0.25">
      <c r="A185" s="1" t="s">
        <v>375</v>
      </c>
      <c r="C185" s="1" t="str">
        <f t="shared" si="2"/>
        <v>- pgh_calidad_sueño</v>
      </c>
    </row>
    <row r="186" spans="1:3" hidden="1" x14ac:dyDescent="0.25">
      <c r="A186" s="1" t="s">
        <v>376</v>
      </c>
      <c r="C186" s="1" t="str">
        <f t="shared" si="2"/>
        <v>- pgh_med_dormir</v>
      </c>
    </row>
    <row r="187" spans="1:3" hidden="1" x14ac:dyDescent="0.25">
      <c r="A187" s="1" t="s">
        <v>377</v>
      </c>
      <c r="C187" s="1" t="str">
        <f t="shared" si="2"/>
        <v>- pgh_somnolencias</v>
      </c>
    </row>
    <row r="188" spans="1:3" hidden="1" x14ac:dyDescent="0.25">
      <c r="A188" s="1" t="s">
        <v>378</v>
      </c>
      <c r="C188" s="1" t="str">
        <f t="shared" si="2"/>
        <v>- pgh_tener_animos</v>
      </c>
    </row>
    <row r="189" spans="1:3" hidden="1" x14ac:dyDescent="0.25">
      <c r="A189" s="1" t="s">
        <v>379</v>
      </c>
      <c r="C189" s="1" t="str">
        <f t="shared" si="2"/>
        <v>- pgh_compañia</v>
      </c>
    </row>
    <row r="190" spans="1:3" hidden="1" x14ac:dyDescent="0.25">
      <c r="A190" s="1" t="s">
        <v>380</v>
      </c>
      <c r="C190" s="1" t="str">
        <f t="shared" si="2"/>
        <v>- pgh_compañia_a</v>
      </c>
    </row>
    <row r="191" spans="1:3" hidden="1" x14ac:dyDescent="0.25">
      <c r="A191" s="1" t="s">
        <v>381</v>
      </c>
      <c r="C191" s="1" t="str">
        <f t="shared" si="2"/>
        <v>- pgh_compañia_b</v>
      </c>
    </row>
    <row r="192" spans="1:3" hidden="1" x14ac:dyDescent="0.25">
      <c r="A192" s="1" t="s">
        <v>382</v>
      </c>
      <c r="C192" s="1" t="str">
        <f t="shared" si="2"/>
        <v>- pgh_compañia_c</v>
      </c>
    </row>
    <row r="193" spans="1:3" hidden="1" x14ac:dyDescent="0.25">
      <c r="A193" s="1" t="s">
        <v>383</v>
      </c>
      <c r="C193" s="1" t="str">
        <f t="shared" si="2"/>
        <v>- pgh_compañia_d</v>
      </c>
    </row>
    <row r="194" spans="1:3" hidden="1" x14ac:dyDescent="0.25">
      <c r="A194" s="1" t="s">
        <v>384</v>
      </c>
      <c r="C194" s="1" t="str">
        <f t="shared" si="2"/>
        <v>- pgh_compañia_e</v>
      </c>
    </row>
    <row r="195" spans="1:3" hidden="1" x14ac:dyDescent="0.25">
      <c r="A195" s="1" t="s">
        <v>419</v>
      </c>
      <c r="C195" s="1" t="str">
        <f t="shared" ref="C195:C258" si="3">"- "&amp;A195</f>
        <v>- ffq_panblanco</v>
      </c>
    </row>
    <row r="196" spans="1:3" hidden="1" x14ac:dyDescent="0.25">
      <c r="A196" s="1" t="s">
        <v>420</v>
      </c>
      <c r="C196" s="1" t="str">
        <f t="shared" si="3"/>
        <v>- ffq_paninteg</v>
      </c>
    </row>
    <row r="197" spans="1:3" hidden="1" x14ac:dyDescent="0.25">
      <c r="A197" s="1" t="s">
        <v>421</v>
      </c>
      <c r="C197" s="1" t="str">
        <f t="shared" si="3"/>
        <v>- ffq_cerealdes</v>
      </c>
    </row>
    <row r="198" spans="1:3" hidden="1" x14ac:dyDescent="0.25">
      <c r="A198" s="1" t="s">
        <v>422</v>
      </c>
      <c r="C198" s="1" t="str">
        <f t="shared" si="3"/>
        <v>- ffq_muesli</v>
      </c>
    </row>
    <row r="199" spans="1:3" hidden="1" x14ac:dyDescent="0.25">
      <c r="A199" s="1" t="s">
        <v>423</v>
      </c>
      <c r="C199" s="1" t="str">
        <f t="shared" si="3"/>
        <v>- ffq_arrozblan</v>
      </c>
    </row>
    <row r="200" spans="1:3" hidden="1" x14ac:dyDescent="0.25">
      <c r="A200" s="1" t="s">
        <v>424</v>
      </c>
      <c r="C200" s="1" t="str">
        <f t="shared" si="3"/>
        <v>- ffq_arrozINT</v>
      </c>
    </row>
    <row r="201" spans="1:3" hidden="1" x14ac:dyDescent="0.25">
      <c r="A201" s="1" t="s">
        <v>425</v>
      </c>
      <c r="C201" s="1" t="str">
        <f t="shared" si="3"/>
        <v>- ffq_pastaINT</v>
      </c>
    </row>
    <row r="202" spans="1:3" hidden="1" x14ac:dyDescent="0.25">
      <c r="A202" s="1" t="s">
        <v>426</v>
      </c>
      <c r="C202" s="1" t="str">
        <f t="shared" si="3"/>
        <v>- ffq_espagueti</v>
      </c>
    </row>
    <row r="203" spans="1:3" hidden="1" x14ac:dyDescent="0.25">
      <c r="A203" s="1" t="s">
        <v>427</v>
      </c>
      <c r="C203" s="1" t="str">
        <f t="shared" si="3"/>
        <v>- ffq_quinoa</v>
      </c>
    </row>
    <row r="204" spans="1:3" hidden="1" x14ac:dyDescent="0.25">
      <c r="A204" s="1" t="s">
        <v>428</v>
      </c>
      <c r="C204" s="1" t="str">
        <f t="shared" si="3"/>
        <v>- ffq_lenteja</v>
      </c>
    </row>
    <row r="205" spans="1:3" hidden="1" x14ac:dyDescent="0.25">
      <c r="A205" s="1" t="s">
        <v>429</v>
      </c>
      <c r="C205" s="1" t="str">
        <f t="shared" si="3"/>
        <v>- ffq_alubiaseca</v>
      </c>
    </row>
    <row r="206" spans="1:3" hidden="1" x14ac:dyDescent="0.25">
      <c r="A206" s="1" t="s">
        <v>430</v>
      </c>
      <c r="C206" s="1" t="str">
        <f t="shared" si="3"/>
        <v>- ffq_garbanzos</v>
      </c>
    </row>
    <row r="207" spans="1:3" hidden="1" x14ac:dyDescent="0.25">
      <c r="A207" s="1" t="s">
        <v>431</v>
      </c>
      <c r="C207" s="1" t="str">
        <f t="shared" si="3"/>
        <v>- ffq_guisantes</v>
      </c>
    </row>
    <row r="208" spans="1:3" hidden="1" x14ac:dyDescent="0.25">
      <c r="A208" s="1" t="s">
        <v>432</v>
      </c>
      <c r="C208" s="1" t="str">
        <f t="shared" si="3"/>
        <v>- ffq_acelgas</v>
      </c>
    </row>
    <row r="209" spans="1:3" hidden="1" x14ac:dyDescent="0.25">
      <c r="A209" s="1" t="s">
        <v>433</v>
      </c>
      <c r="C209" s="1" t="str">
        <f t="shared" si="3"/>
        <v>- ffq_coles</v>
      </c>
    </row>
    <row r="210" spans="1:3" hidden="1" x14ac:dyDescent="0.25">
      <c r="A210" s="1" t="s">
        <v>434</v>
      </c>
      <c r="C210" s="1" t="str">
        <f t="shared" si="3"/>
        <v>- ffq_lechug</v>
      </c>
    </row>
    <row r="211" spans="1:3" hidden="1" x14ac:dyDescent="0.25">
      <c r="A211" s="1" t="s">
        <v>435</v>
      </c>
      <c r="C211" s="1" t="str">
        <f t="shared" si="3"/>
        <v>- ffq_tomat</v>
      </c>
    </row>
    <row r="212" spans="1:3" hidden="1" x14ac:dyDescent="0.25">
      <c r="A212" s="1" t="s">
        <v>436</v>
      </c>
      <c r="C212" s="1" t="str">
        <f t="shared" si="3"/>
        <v>- ffq_zanahor</v>
      </c>
    </row>
    <row r="213" spans="1:3" hidden="1" x14ac:dyDescent="0.25">
      <c r="A213" s="1" t="s">
        <v>437</v>
      </c>
      <c r="C213" s="1" t="str">
        <f t="shared" si="3"/>
        <v>- ffq_jverde</v>
      </c>
    </row>
    <row r="214" spans="1:3" hidden="1" x14ac:dyDescent="0.25">
      <c r="A214" s="1" t="s">
        <v>438</v>
      </c>
      <c r="C214" s="1" t="str">
        <f t="shared" si="3"/>
        <v>- ffq_calabacin</v>
      </c>
    </row>
    <row r="215" spans="1:3" hidden="1" x14ac:dyDescent="0.25">
      <c r="A215" s="1" t="s">
        <v>439</v>
      </c>
      <c r="C215" s="1" t="str">
        <f t="shared" si="3"/>
        <v>- ffq_pimientos</v>
      </c>
    </row>
    <row r="216" spans="1:3" hidden="1" x14ac:dyDescent="0.25">
      <c r="A216" s="1" t="s">
        <v>440</v>
      </c>
      <c r="C216" s="1" t="str">
        <f t="shared" si="3"/>
        <v>- ffq_esparragos</v>
      </c>
    </row>
    <row r="217" spans="1:3" hidden="1" x14ac:dyDescent="0.25">
      <c r="A217" s="1" t="s">
        <v>441</v>
      </c>
      <c r="C217" s="1" t="str">
        <f t="shared" si="3"/>
        <v>- ffq_gazpach</v>
      </c>
    </row>
    <row r="218" spans="1:3" hidden="1" x14ac:dyDescent="0.25">
      <c r="A218" s="1" t="s">
        <v>442</v>
      </c>
      <c r="C218" s="1" t="str">
        <f t="shared" si="3"/>
        <v>- ffq_otrasver</v>
      </c>
    </row>
    <row r="219" spans="1:3" hidden="1" x14ac:dyDescent="0.25">
      <c r="A219" s="1" t="s">
        <v>443</v>
      </c>
      <c r="C219" s="1" t="str">
        <f t="shared" si="3"/>
        <v>- ffq_cebollas</v>
      </c>
    </row>
    <row r="220" spans="1:3" hidden="1" x14ac:dyDescent="0.25">
      <c r="A220" s="1" t="s">
        <v>444</v>
      </c>
      <c r="C220" s="1" t="str">
        <f t="shared" si="3"/>
        <v>- ffq_ajos</v>
      </c>
    </row>
    <row r="221" spans="1:3" hidden="1" x14ac:dyDescent="0.25">
      <c r="A221" s="1" t="s">
        <v>445</v>
      </c>
      <c r="C221" s="1" t="str">
        <f t="shared" si="3"/>
        <v>- ffq_seta</v>
      </c>
    </row>
    <row r="222" spans="1:3" hidden="1" x14ac:dyDescent="0.25">
      <c r="A222" s="1" t="s">
        <v>446</v>
      </c>
      <c r="C222" s="1" t="str">
        <f t="shared" si="3"/>
        <v>- ffq_p_cocidas</v>
      </c>
    </row>
    <row r="223" spans="1:3" hidden="1" x14ac:dyDescent="0.25">
      <c r="A223" s="1" t="s">
        <v>447</v>
      </c>
      <c r="C223" s="1" t="str">
        <f t="shared" si="3"/>
        <v>- ffq_p_fritascas</v>
      </c>
    </row>
    <row r="224" spans="1:3" hidden="1" x14ac:dyDescent="0.25">
      <c r="A224" s="1" t="s">
        <v>448</v>
      </c>
      <c r="C224" s="1" t="str">
        <f t="shared" si="3"/>
        <v>- ffq_sofrito</v>
      </c>
    </row>
    <row r="225" spans="1:3" hidden="1" x14ac:dyDescent="0.25">
      <c r="A225" s="1" t="s">
        <v>449</v>
      </c>
      <c r="C225" s="1" t="str">
        <f t="shared" si="3"/>
        <v>- ffq_naranjas</v>
      </c>
    </row>
    <row r="226" spans="1:3" hidden="1" x14ac:dyDescent="0.25">
      <c r="A226" s="1" t="s">
        <v>450</v>
      </c>
      <c r="C226" s="1" t="str">
        <f t="shared" si="3"/>
        <v>- ffq_platanos</v>
      </c>
    </row>
    <row r="227" spans="1:3" hidden="1" x14ac:dyDescent="0.25">
      <c r="A227" s="1" t="s">
        <v>451</v>
      </c>
      <c r="C227" s="1" t="str">
        <f t="shared" si="3"/>
        <v>- ffq_manzanas</v>
      </c>
    </row>
    <row r="228" spans="1:3" hidden="1" x14ac:dyDescent="0.25">
      <c r="A228" s="1" t="s">
        <v>452</v>
      </c>
      <c r="C228" s="1" t="str">
        <f t="shared" si="3"/>
        <v>- ffq_fresa</v>
      </c>
    </row>
    <row r="229" spans="1:3" hidden="1" x14ac:dyDescent="0.25">
      <c r="A229" s="1" t="s">
        <v>453</v>
      </c>
      <c r="C229" s="1" t="str">
        <f t="shared" si="3"/>
        <v>- ffq_cerezas</v>
      </c>
    </row>
    <row r="230" spans="1:3" hidden="1" x14ac:dyDescent="0.25">
      <c r="A230" s="1" t="s">
        <v>454</v>
      </c>
      <c r="C230" s="1" t="str">
        <f t="shared" si="3"/>
        <v>- ffq_melocoton</v>
      </c>
    </row>
    <row r="231" spans="1:3" hidden="1" x14ac:dyDescent="0.25">
      <c r="A231" s="1" t="s">
        <v>455</v>
      </c>
      <c r="C231" s="1" t="str">
        <f t="shared" si="3"/>
        <v>- ffq_sandi</v>
      </c>
    </row>
    <row r="232" spans="1:3" hidden="1" x14ac:dyDescent="0.25">
      <c r="A232" s="1" t="s">
        <v>456</v>
      </c>
      <c r="C232" s="1" t="str">
        <f t="shared" si="3"/>
        <v>- ffq_kiwis</v>
      </c>
    </row>
    <row r="233" spans="1:3" hidden="1" x14ac:dyDescent="0.25">
      <c r="A233" s="1" t="s">
        <v>457</v>
      </c>
      <c r="C233" s="1" t="str">
        <f t="shared" si="3"/>
        <v>- ffq_pina</v>
      </c>
    </row>
    <row r="234" spans="1:3" hidden="1" x14ac:dyDescent="0.25">
      <c r="A234" s="1" t="s">
        <v>458</v>
      </c>
      <c r="C234" s="1" t="str">
        <f t="shared" si="3"/>
        <v>- ffq_uva</v>
      </c>
    </row>
    <row r="235" spans="1:3" hidden="1" x14ac:dyDescent="0.25">
      <c r="A235" s="1" t="s">
        <v>459</v>
      </c>
      <c r="C235" s="1" t="str">
        <f t="shared" si="3"/>
        <v>- ffq_tropicales</v>
      </c>
    </row>
    <row r="236" spans="1:3" hidden="1" x14ac:dyDescent="0.25">
      <c r="A236" s="1" t="s">
        <v>460</v>
      </c>
      <c r="C236" s="1" t="str">
        <f t="shared" si="3"/>
        <v>- ffq_almibar</v>
      </c>
    </row>
    <row r="237" spans="1:3" hidden="1" x14ac:dyDescent="0.25">
      <c r="A237" s="1" t="s">
        <v>461</v>
      </c>
      <c r="C237" s="1" t="str">
        <f t="shared" si="3"/>
        <v>- ffq_pasas</v>
      </c>
    </row>
    <row r="238" spans="1:3" hidden="1" x14ac:dyDescent="0.25">
      <c r="A238" s="1" t="s">
        <v>462</v>
      </c>
      <c r="C238" s="1" t="str">
        <f t="shared" si="3"/>
        <v>- ffq_almendras</v>
      </c>
    </row>
    <row r="239" spans="1:3" hidden="1" x14ac:dyDescent="0.25">
      <c r="A239" s="1" t="s">
        <v>463</v>
      </c>
      <c r="C239" s="1" t="str">
        <f t="shared" si="3"/>
        <v>- ffq_avellanas</v>
      </c>
    </row>
    <row r="240" spans="1:3" hidden="1" x14ac:dyDescent="0.25">
      <c r="A240" s="1" t="s">
        <v>464</v>
      </c>
      <c r="C240" s="1" t="str">
        <f t="shared" si="3"/>
        <v>- ffq_nuez</v>
      </c>
    </row>
    <row r="241" spans="1:3" hidden="1" x14ac:dyDescent="0.25">
      <c r="A241" s="1" t="s">
        <v>465</v>
      </c>
      <c r="C241" s="1" t="str">
        <f t="shared" si="3"/>
        <v>- ffq_pistacho</v>
      </c>
    </row>
    <row r="242" spans="1:3" hidden="1" x14ac:dyDescent="0.25">
      <c r="A242" s="1" t="s">
        <v>466</v>
      </c>
      <c r="C242" s="1" t="str">
        <f t="shared" si="3"/>
        <v>- ffq_semillas</v>
      </c>
    </row>
    <row r="243" spans="1:3" hidden="1" x14ac:dyDescent="0.25">
      <c r="A243" s="1" t="s">
        <v>467</v>
      </c>
      <c r="C243" s="1" t="str">
        <f t="shared" si="3"/>
        <v>- ffq_leche_ent</v>
      </c>
    </row>
    <row r="244" spans="1:3" hidden="1" x14ac:dyDescent="0.25">
      <c r="A244" s="1" t="s">
        <v>468</v>
      </c>
      <c r="C244" s="1" t="str">
        <f t="shared" si="3"/>
        <v>- ffq_leche_semi</v>
      </c>
    </row>
    <row r="245" spans="1:3" hidden="1" x14ac:dyDescent="0.25">
      <c r="A245" s="1" t="s">
        <v>469</v>
      </c>
      <c r="C245" s="1" t="str">
        <f t="shared" si="3"/>
        <v>- ffq_leche_desn</v>
      </c>
    </row>
    <row r="246" spans="1:3" hidden="1" x14ac:dyDescent="0.25">
      <c r="A246" s="1" t="s">
        <v>470</v>
      </c>
      <c r="C246" s="1" t="str">
        <f t="shared" si="3"/>
        <v>- ffq_leche_cond</v>
      </c>
    </row>
    <row r="247" spans="1:3" hidden="1" x14ac:dyDescent="0.25">
      <c r="A247" s="1" t="s">
        <v>471</v>
      </c>
      <c r="C247" s="1" t="str">
        <f t="shared" si="3"/>
        <v>- ffq_bebidas_vegetales</v>
      </c>
    </row>
    <row r="248" spans="1:3" hidden="1" x14ac:dyDescent="0.25">
      <c r="A248" s="1" t="s">
        <v>472</v>
      </c>
      <c r="C248" s="1" t="str">
        <f t="shared" si="3"/>
        <v>- ffq_yogur_ent</v>
      </c>
    </row>
    <row r="249" spans="1:3" hidden="1" x14ac:dyDescent="0.25">
      <c r="A249" s="1" t="s">
        <v>473</v>
      </c>
      <c r="C249" s="1" t="str">
        <f t="shared" si="3"/>
        <v>- ffq_yogur_des</v>
      </c>
    </row>
    <row r="250" spans="1:3" hidden="1" x14ac:dyDescent="0.25">
      <c r="A250" s="1" t="s">
        <v>474</v>
      </c>
      <c r="C250" s="1" t="str">
        <f t="shared" si="3"/>
        <v>- ffq_otros_lacteos</v>
      </c>
    </row>
    <row r="251" spans="1:3" hidden="1" x14ac:dyDescent="0.25">
      <c r="A251" s="1" t="s">
        <v>475</v>
      </c>
      <c r="C251" s="1" t="str">
        <f t="shared" si="3"/>
        <v>- ffq_nata_crema</v>
      </c>
    </row>
    <row r="252" spans="1:3" hidden="1" x14ac:dyDescent="0.25">
      <c r="A252" s="1" t="s">
        <v>476</v>
      </c>
      <c r="C252" s="1" t="str">
        <f t="shared" si="3"/>
        <v>- ffq_batidos</v>
      </c>
    </row>
    <row r="253" spans="1:3" hidden="1" x14ac:dyDescent="0.25">
      <c r="A253" s="1" t="s">
        <v>477</v>
      </c>
      <c r="C253" s="1" t="str">
        <f t="shared" si="3"/>
        <v>- ffq_requeson</v>
      </c>
    </row>
    <row r="254" spans="1:3" hidden="1" x14ac:dyDescent="0.25">
      <c r="A254" s="1" t="s">
        <v>478</v>
      </c>
      <c r="C254" s="1" t="str">
        <f t="shared" si="3"/>
        <v>- ffq_quesito</v>
      </c>
    </row>
    <row r="255" spans="1:3" hidden="1" x14ac:dyDescent="0.25">
      <c r="A255" s="1" t="s">
        <v>479</v>
      </c>
      <c r="C255" s="1" t="str">
        <f t="shared" si="3"/>
        <v>- ffq_quesos</v>
      </c>
    </row>
    <row r="256" spans="1:3" hidden="1" x14ac:dyDescent="0.25">
      <c r="A256" s="1" t="s">
        <v>480</v>
      </c>
      <c r="C256" s="1" t="str">
        <f t="shared" si="3"/>
        <v>- ffq_q_fresco</v>
      </c>
    </row>
    <row r="257" spans="1:3" hidden="1" x14ac:dyDescent="0.25">
      <c r="A257" s="1" t="s">
        <v>481</v>
      </c>
      <c r="C257" s="1" t="str">
        <f t="shared" si="3"/>
        <v>- ffq_helados</v>
      </c>
    </row>
    <row r="258" spans="1:3" hidden="1" x14ac:dyDescent="0.25">
      <c r="A258" s="1" t="s">
        <v>482</v>
      </c>
      <c r="C258" s="1" t="str">
        <f t="shared" si="3"/>
        <v>- ffq_huevos</v>
      </c>
    </row>
    <row r="259" spans="1:3" hidden="1" x14ac:dyDescent="0.25">
      <c r="A259" s="1" t="s">
        <v>483</v>
      </c>
      <c r="C259" s="1" t="str">
        <f t="shared" ref="C259:C322" si="4">"- "&amp;A259</f>
        <v>- ffq_p_blanco</v>
      </c>
    </row>
    <row r="260" spans="1:3" hidden="1" x14ac:dyDescent="0.25">
      <c r="A260" s="1" t="s">
        <v>484</v>
      </c>
      <c r="C260" s="1" t="str">
        <f t="shared" si="4"/>
        <v>- ffq_p_azul</v>
      </c>
    </row>
    <row r="261" spans="1:3" hidden="1" x14ac:dyDescent="0.25">
      <c r="A261" s="1" t="s">
        <v>485</v>
      </c>
      <c r="C261" s="1" t="str">
        <f t="shared" si="4"/>
        <v>- ffq_bacalao</v>
      </c>
    </row>
    <row r="262" spans="1:3" hidden="1" x14ac:dyDescent="0.25">
      <c r="A262" s="1" t="s">
        <v>486</v>
      </c>
      <c r="C262" s="1" t="str">
        <f t="shared" si="4"/>
        <v>- ffq_almejas</v>
      </c>
    </row>
    <row r="263" spans="1:3" hidden="1" x14ac:dyDescent="0.25">
      <c r="A263" s="1" t="s">
        <v>487</v>
      </c>
      <c r="C263" s="1" t="str">
        <f t="shared" si="4"/>
        <v>- ffq_calamar</v>
      </c>
    </row>
    <row r="264" spans="1:3" hidden="1" x14ac:dyDescent="0.25">
      <c r="A264" s="1" t="s">
        <v>488</v>
      </c>
      <c r="C264" s="1" t="str">
        <f t="shared" si="4"/>
        <v>- ffq_crustaceos</v>
      </c>
    </row>
    <row r="265" spans="1:3" hidden="1" x14ac:dyDescent="0.25">
      <c r="A265" s="1" t="s">
        <v>489</v>
      </c>
      <c r="C265" s="1" t="str">
        <f t="shared" si="4"/>
        <v>- ffq_p_aceite</v>
      </c>
    </row>
    <row r="266" spans="1:3" hidden="1" x14ac:dyDescent="0.25">
      <c r="A266" s="1" t="s">
        <v>490</v>
      </c>
      <c r="C266" s="1" t="str">
        <f t="shared" si="4"/>
        <v>- ffq_p_natural</v>
      </c>
    </row>
    <row r="267" spans="1:3" hidden="1" x14ac:dyDescent="0.25">
      <c r="A267" s="1" t="s">
        <v>491</v>
      </c>
      <c r="C267" s="1" t="str">
        <f t="shared" si="4"/>
        <v>- ffq_surimi</v>
      </c>
    </row>
    <row r="268" spans="1:3" hidden="1" x14ac:dyDescent="0.25">
      <c r="A268" s="1" t="s">
        <v>492</v>
      </c>
      <c r="C268" s="1" t="str">
        <f t="shared" si="4"/>
        <v>- ffq_pollopiel</v>
      </c>
    </row>
    <row r="269" spans="1:3" hidden="1" x14ac:dyDescent="0.25">
      <c r="A269" s="1" t="s">
        <v>493</v>
      </c>
      <c r="C269" s="1" t="str">
        <f t="shared" si="4"/>
        <v>- ffq_pollonopiel</v>
      </c>
    </row>
    <row r="270" spans="1:3" hidden="1" x14ac:dyDescent="0.25">
      <c r="A270" s="1" t="s">
        <v>494</v>
      </c>
      <c r="C270" s="1" t="str">
        <f t="shared" si="4"/>
        <v>- ffq_c_ternera</v>
      </c>
    </row>
    <row r="271" spans="1:3" hidden="1" x14ac:dyDescent="0.25">
      <c r="A271" s="1" t="s">
        <v>495</v>
      </c>
      <c r="C271" s="1" t="str">
        <f t="shared" si="4"/>
        <v>- ffq_c_cerdomagra</v>
      </c>
    </row>
    <row r="272" spans="1:3" hidden="1" x14ac:dyDescent="0.25">
      <c r="A272" s="1" t="s">
        <v>496</v>
      </c>
      <c r="C272" s="1" t="str">
        <f t="shared" si="4"/>
        <v>- ffq_c_cerdonomagra</v>
      </c>
    </row>
    <row r="273" spans="1:3" hidden="1" x14ac:dyDescent="0.25">
      <c r="A273" s="1" t="s">
        <v>497</v>
      </c>
      <c r="C273" s="1" t="str">
        <f t="shared" si="4"/>
        <v>- ffq_c_cordero</v>
      </c>
    </row>
    <row r="274" spans="1:3" hidden="1" x14ac:dyDescent="0.25">
      <c r="A274" s="1" t="s">
        <v>498</v>
      </c>
      <c r="C274" s="1" t="str">
        <f t="shared" si="4"/>
        <v>- ffq_c_conejo</v>
      </c>
    </row>
    <row r="275" spans="1:3" hidden="1" x14ac:dyDescent="0.25">
      <c r="A275" s="1" t="s">
        <v>499</v>
      </c>
      <c r="C275" s="1" t="str">
        <f t="shared" si="4"/>
        <v>- ffq_hamburguesa</v>
      </c>
    </row>
    <row r="276" spans="1:3" hidden="1" x14ac:dyDescent="0.25">
      <c r="A276" s="1" t="s">
        <v>500</v>
      </c>
      <c r="C276" s="1" t="str">
        <f t="shared" si="4"/>
        <v>- ffq_bacon</v>
      </c>
    </row>
    <row r="277" spans="1:3" hidden="1" x14ac:dyDescent="0.25">
      <c r="A277" s="1" t="s">
        <v>501</v>
      </c>
      <c r="C277" s="1" t="str">
        <f t="shared" si="4"/>
        <v>- ffq_higad</v>
      </c>
    </row>
    <row r="278" spans="1:3" hidden="1" x14ac:dyDescent="0.25">
      <c r="A278" s="1" t="s">
        <v>502</v>
      </c>
      <c r="C278" s="1" t="str">
        <f t="shared" si="4"/>
        <v>- ffq_visceras</v>
      </c>
    </row>
    <row r="279" spans="1:3" hidden="1" x14ac:dyDescent="0.25">
      <c r="A279" s="1" t="s">
        <v>503</v>
      </c>
      <c r="C279" s="1" t="str">
        <f t="shared" si="4"/>
        <v>- ffq_j_serrano</v>
      </c>
    </row>
    <row r="280" spans="1:3" hidden="1" x14ac:dyDescent="0.25">
      <c r="A280" s="1" t="s">
        <v>504</v>
      </c>
      <c r="C280" s="1" t="str">
        <f t="shared" si="4"/>
        <v>- ffq_j_cocido</v>
      </c>
    </row>
    <row r="281" spans="1:3" hidden="1" x14ac:dyDescent="0.25">
      <c r="A281" s="1" t="s">
        <v>505</v>
      </c>
      <c r="C281" s="1" t="str">
        <f t="shared" si="4"/>
        <v>- ffq_otros_embutidos</v>
      </c>
    </row>
    <row r="282" spans="1:3" hidden="1" x14ac:dyDescent="0.25">
      <c r="A282" s="1" t="s">
        <v>506</v>
      </c>
      <c r="C282" s="1" t="str">
        <f t="shared" si="4"/>
        <v>- ffq_carnes_procesadas</v>
      </c>
    </row>
    <row r="283" spans="1:3" hidden="1" x14ac:dyDescent="0.25">
      <c r="A283" s="1" t="s">
        <v>507</v>
      </c>
      <c r="C283" s="1" t="str">
        <f t="shared" si="4"/>
        <v>- ffq_pates</v>
      </c>
    </row>
    <row r="284" spans="1:3" hidden="1" x14ac:dyDescent="0.25">
      <c r="A284" s="1" t="s">
        <v>508</v>
      </c>
      <c r="C284" s="1" t="str">
        <f t="shared" si="4"/>
        <v>- ffq_ac_oliva</v>
      </c>
    </row>
    <row r="285" spans="1:3" hidden="1" x14ac:dyDescent="0.25">
      <c r="A285" s="1" t="s">
        <v>509</v>
      </c>
      <c r="C285" s="1" t="str">
        <f t="shared" si="4"/>
        <v>- ffq_ac_olivavir</v>
      </c>
    </row>
    <row r="286" spans="1:3" hidden="1" x14ac:dyDescent="0.25">
      <c r="A286" s="1" t="s">
        <v>510</v>
      </c>
      <c r="C286" s="1" t="str">
        <f t="shared" si="4"/>
        <v>- ffq_ac_girasol</v>
      </c>
    </row>
    <row r="287" spans="1:3" hidden="1" x14ac:dyDescent="0.25">
      <c r="A287" s="1" t="s">
        <v>511</v>
      </c>
      <c r="C287" s="1" t="str">
        <f t="shared" si="4"/>
        <v>- ffq_ac_maiz</v>
      </c>
    </row>
    <row r="288" spans="1:3" hidden="1" x14ac:dyDescent="0.25">
      <c r="A288" s="1" t="s">
        <v>512</v>
      </c>
      <c r="C288" s="1" t="str">
        <f t="shared" si="4"/>
        <v>- ffq_aguacate</v>
      </c>
    </row>
    <row r="289" spans="1:3" hidden="1" x14ac:dyDescent="0.25">
      <c r="A289" s="1" t="s">
        <v>513</v>
      </c>
      <c r="C289" s="1" t="str">
        <f t="shared" si="4"/>
        <v>- ffq_aceitunas</v>
      </c>
    </row>
    <row r="290" spans="1:3" hidden="1" x14ac:dyDescent="0.25">
      <c r="A290" s="1" t="s">
        <v>514</v>
      </c>
      <c r="C290" s="1" t="str">
        <f t="shared" si="4"/>
        <v>- ffq_ac_mezcla</v>
      </c>
    </row>
    <row r="291" spans="1:3" hidden="1" x14ac:dyDescent="0.25">
      <c r="A291" s="1" t="s">
        <v>515</v>
      </c>
      <c r="C291" s="1" t="str">
        <f t="shared" si="4"/>
        <v>- ffq_margarinas</v>
      </c>
    </row>
    <row r="292" spans="1:3" hidden="1" x14ac:dyDescent="0.25">
      <c r="A292" s="1" t="s">
        <v>516</v>
      </c>
      <c r="C292" s="1" t="str">
        <f t="shared" si="4"/>
        <v>- ffq_mantequillas</v>
      </c>
    </row>
    <row r="293" spans="1:3" hidden="1" x14ac:dyDescent="0.25">
      <c r="A293" s="1" t="s">
        <v>517</v>
      </c>
      <c r="C293" s="1" t="str">
        <f t="shared" si="4"/>
        <v>- ffq_mantecacer</v>
      </c>
    </row>
    <row r="294" spans="1:3" hidden="1" x14ac:dyDescent="0.25">
      <c r="A294" s="1" t="s">
        <v>518</v>
      </c>
      <c r="C294" s="1" t="str">
        <f t="shared" si="4"/>
        <v>- ffq_g_maria</v>
      </c>
    </row>
    <row r="295" spans="1:3" hidden="1" x14ac:dyDescent="0.25">
      <c r="A295" s="1" t="s">
        <v>519</v>
      </c>
      <c r="C295" s="1" t="str">
        <f t="shared" si="4"/>
        <v>- ffq_g_integral</v>
      </c>
    </row>
    <row r="296" spans="1:3" hidden="1" x14ac:dyDescent="0.25">
      <c r="A296" s="1" t="s">
        <v>520</v>
      </c>
      <c r="C296" s="1" t="str">
        <f t="shared" si="4"/>
        <v>- ffq_g_sinazucar</v>
      </c>
    </row>
    <row r="297" spans="1:3" hidden="1" x14ac:dyDescent="0.25">
      <c r="A297" s="1" t="s">
        <v>521</v>
      </c>
      <c r="C297" s="1" t="str">
        <f t="shared" si="4"/>
        <v>- ffq_g_choco</v>
      </c>
    </row>
    <row r="298" spans="1:3" hidden="1" x14ac:dyDescent="0.25">
      <c r="A298" s="1" t="s">
        <v>522</v>
      </c>
      <c r="C298" s="1" t="str">
        <f t="shared" si="4"/>
        <v>- ffq_bizcocho</v>
      </c>
    </row>
    <row r="299" spans="1:3" hidden="1" x14ac:dyDescent="0.25">
      <c r="A299" s="1" t="s">
        <v>523</v>
      </c>
      <c r="C299" s="1" t="str">
        <f t="shared" si="4"/>
        <v>- ffq_croissant</v>
      </c>
    </row>
    <row r="300" spans="1:3" hidden="1" x14ac:dyDescent="0.25">
      <c r="A300" s="1" t="s">
        <v>524</v>
      </c>
      <c r="C300" s="1" t="str">
        <f t="shared" si="4"/>
        <v>- ffq_natilla</v>
      </c>
    </row>
    <row r="301" spans="1:3" hidden="1" x14ac:dyDescent="0.25">
      <c r="A301" s="1" t="s">
        <v>525</v>
      </c>
      <c r="C301" s="1" t="str">
        <f t="shared" si="4"/>
        <v>- ffq_pastel</v>
      </c>
    </row>
    <row r="302" spans="1:3" hidden="1" x14ac:dyDescent="0.25">
      <c r="A302" s="1" t="s">
        <v>526</v>
      </c>
      <c r="C302" s="1" t="str">
        <f t="shared" si="4"/>
        <v>- ffq_churro</v>
      </c>
    </row>
    <row r="303" spans="1:3" hidden="1" x14ac:dyDescent="0.25">
      <c r="A303" s="1" t="s">
        <v>527</v>
      </c>
      <c r="C303" s="1" t="str">
        <f t="shared" si="4"/>
        <v>- ffq_turrones</v>
      </c>
    </row>
    <row r="304" spans="1:3" hidden="1" x14ac:dyDescent="0.25">
      <c r="A304" s="1" t="s">
        <v>528</v>
      </c>
      <c r="C304" s="1" t="str">
        <f t="shared" si="4"/>
        <v>- ffq_chocolate_negro</v>
      </c>
    </row>
    <row r="305" spans="1:3" hidden="1" x14ac:dyDescent="0.25">
      <c r="A305" s="1" t="s">
        <v>529</v>
      </c>
      <c r="C305" s="1" t="str">
        <f t="shared" si="4"/>
        <v>- ffq_chocolates</v>
      </c>
    </row>
    <row r="306" spans="1:3" hidden="1" x14ac:dyDescent="0.25">
      <c r="A306" s="1" t="s">
        <v>530</v>
      </c>
      <c r="C306" s="1" t="str">
        <f t="shared" si="4"/>
        <v>- ffq_cacao</v>
      </c>
    </row>
    <row r="307" spans="1:3" hidden="1" x14ac:dyDescent="0.25">
      <c r="A307" s="1" t="s">
        <v>531</v>
      </c>
      <c r="C307" s="1" t="str">
        <f t="shared" si="4"/>
        <v>- ffq_croquetas</v>
      </c>
    </row>
    <row r="308" spans="1:3" hidden="1" x14ac:dyDescent="0.25">
      <c r="A308" s="1" t="s">
        <v>532</v>
      </c>
      <c r="C308" s="1" t="str">
        <f t="shared" si="4"/>
        <v>- ffq_sopasobre</v>
      </c>
    </row>
    <row r="309" spans="1:3" hidden="1" x14ac:dyDescent="0.25">
      <c r="A309" s="1" t="s">
        <v>533</v>
      </c>
      <c r="C309" s="1" t="str">
        <f t="shared" si="4"/>
        <v>- ffq_mostaz</v>
      </c>
    </row>
    <row r="310" spans="1:3" hidden="1" x14ac:dyDescent="0.25">
      <c r="A310" s="1" t="s">
        <v>534</v>
      </c>
      <c r="C310" s="1" t="str">
        <f t="shared" si="4"/>
        <v>- ffq_mayones</v>
      </c>
    </row>
    <row r="311" spans="1:3" hidden="1" x14ac:dyDescent="0.25">
      <c r="A311" s="1" t="s">
        <v>535</v>
      </c>
      <c r="C311" s="1" t="str">
        <f t="shared" si="4"/>
        <v>- ffq_tomatefri</v>
      </c>
    </row>
    <row r="312" spans="1:3" hidden="1" x14ac:dyDescent="0.25">
      <c r="A312" s="1" t="s">
        <v>536</v>
      </c>
      <c r="C312" s="1" t="str">
        <f t="shared" si="4"/>
        <v>- ffq_sal</v>
      </c>
    </row>
    <row r="313" spans="1:3" hidden="1" x14ac:dyDescent="0.25">
      <c r="A313" s="1" t="s">
        <v>537</v>
      </c>
      <c r="C313" s="1" t="str">
        <f t="shared" si="4"/>
        <v>- ffq_mermeladas</v>
      </c>
    </row>
    <row r="314" spans="1:3" hidden="1" x14ac:dyDescent="0.25">
      <c r="A314" s="1" t="s">
        <v>538</v>
      </c>
      <c r="C314" s="1" t="str">
        <f t="shared" si="4"/>
        <v>- ffq_mieles</v>
      </c>
    </row>
    <row r="315" spans="1:3" hidden="1" x14ac:dyDescent="0.25">
      <c r="A315" s="1" t="s">
        <v>539</v>
      </c>
      <c r="C315" s="1" t="str">
        <f t="shared" si="4"/>
        <v>- ffq_azuc</v>
      </c>
    </row>
    <row r="316" spans="1:3" hidden="1" x14ac:dyDescent="0.25">
      <c r="A316" s="1" t="s">
        <v>540</v>
      </c>
      <c r="C316" s="1" t="str">
        <f t="shared" si="4"/>
        <v>- ffq_edulcorantes</v>
      </c>
    </row>
    <row r="317" spans="1:3" hidden="1" x14ac:dyDescent="0.25">
      <c r="A317" s="1" t="s">
        <v>541</v>
      </c>
      <c r="C317" s="1" t="str">
        <f t="shared" si="4"/>
        <v>- ffq_perejil</v>
      </c>
    </row>
    <row r="318" spans="1:3" hidden="1" x14ac:dyDescent="0.25">
      <c r="A318" s="1" t="s">
        <v>542</v>
      </c>
      <c r="C318" s="1" t="str">
        <f t="shared" si="4"/>
        <v>- ffq_picante</v>
      </c>
    </row>
    <row r="319" spans="1:3" hidden="1" x14ac:dyDescent="0.25">
      <c r="A319" s="1" t="s">
        <v>543</v>
      </c>
      <c r="C319" s="1" t="str">
        <f t="shared" si="4"/>
        <v>- ffq_p_fritascom</v>
      </c>
    </row>
    <row r="320" spans="1:3" hidden="1" x14ac:dyDescent="0.25">
      <c r="A320" s="1" t="s">
        <v>544</v>
      </c>
      <c r="C320" s="1" t="str">
        <f t="shared" si="4"/>
        <v>- ffq_snack</v>
      </c>
    </row>
    <row r="321" spans="1:3" hidden="1" x14ac:dyDescent="0.25">
      <c r="A321" s="1" t="s">
        <v>545</v>
      </c>
      <c r="C321" s="1" t="str">
        <f t="shared" si="4"/>
        <v>- ffq_tortitas</v>
      </c>
    </row>
    <row r="322" spans="1:3" hidden="1" x14ac:dyDescent="0.25">
      <c r="A322" s="1" t="s">
        <v>546</v>
      </c>
      <c r="C322" s="1" t="str">
        <f t="shared" si="4"/>
        <v>- ffq_pizzas</v>
      </c>
    </row>
    <row r="323" spans="1:3" hidden="1" x14ac:dyDescent="0.25">
      <c r="A323" s="1" t="s">
        <v>547</v>
      </c>
      <c r="C323" s="1" t="str">
        <f t="shared" ref="C323:C386" si="5">"- "&amp;A323</f>
        <v>- ffq_agua</v>
      </c>
    </row>
    <row r="324" spans="1:3" hidden="1" x14ac:dyDescent="0.25">
      <c r="A324" s="1" t="s">
        <v>548</v>
      </c>
      <c r="C324" s="1" t="str">
        <f t="shared" si="5"/>
        <v>- ffq_infusiones</v>
      </c>
    </row>
    <row r="325" spans="1:3" hidden="1" x14ac:dyDescent="0.25">
      <c r="A325" s="1" t="s">
        <v>549</v>
      </c>
      <c r="C325" s="1" t="str">
        <f t="shared" si="5"/>
        <v>- ffq_refrescos</v>
      </c>
    </row>
    <row r="326" spans="1:3" hidden="1" x14ac:dyDescent="0.25">
      <c r="A326" s="1" t="s">
        <v>550</v>
      </c>
      <c r="C326" s="1" t="str">
        <f t="shared" si="5"/>
        <v>- ffq_refrescsin</v>
      </c>
    </row>
    <row r="327" spans="1:3" hidden="1" x14ac:dyDescent="0.25">
      <c r="A327" s="1" t="s">
        <v>551</v>
      </c>
      <c r="C327" s="1" t="str">
        <f t="shared" si="5"/>
        <v>- ffq_bebida_energetica</v>
      </c>
    </row>
    <row r="328" spans="1:3" hidden="1" x14ac:dyDescent="0.25">
      <c r="A328" s="1" t="s">
        <v>552</v>
      </c>
      <c r="C328" s="1" t="str">
        <f t="shared" si="5"/>
        <v>- ffq_z_natural</v>
      </c>
    </row>
    <row r="329" spans="1:3" hidden="1" x14ac:dyDescent="0.25">
      <c r="A329" s="1" t="s">
        <v>553</v>
      </c>
      <c r="C329" s="1" t="str">
        <f t="shared" si="5"/>
        <v>- ffq_z_frutasnat</v>
      </c>
    </row>
    <row r="330" spans="1:3" hidden="1" x14ac:dyDescent="0.25">
      <c r="A330" s="1" t="s">
        <v>554</v>
      </c>
      <c r="C330" s="1" t="str">
        <f t="shared" si="5"/>
        <v>- ffq_z_botella</v>
      </c>
    </row>
    <row r="331" spans="1:3" hidden="1" x14ac:dyDescent="0.25">
      <c r="A331" s="1" t="s">
        <v>555</v>
      </c>
      <c r="C331" s="1" t="str">
        <f t="shared" si="5"/>
        <v>- ffq_cafedesc</v>
      </c>
    </row>
    <row r="332" spans="1:3" hidden="1" x14ac:dyDescent="0.25">
      <c r="A332" s="1" t="s">
        <v>556</v>
      </c>
      <c r="C332" s="1" t="str">
        <f t="shared" si="5"/>
        <v>- ffq_cafes</v>
      </c>
    </row>
    <row r="333" spans="1:3" hidden="1" x14ac:dyDescent="0.25">
      <c r="A333" s="1" t="s">
        <v>557</v>
      </c>
      <c r="C333" s="1" t="str">
        <f t="shared" si="5"/>
        <v>- ffq_te</v>
      </c>
    </row>
    <row r="334" spans="1:3" hidden="1" x14ac:dyDescent="0.25">
      <c r="A334" s="1" t="s">
        <v>558</v>
      </c>
      <c r="C334" s="1" t="str">
        <f t="shared" si="5"/>
        <v>- ffq_v_tintojov</v>
      </c>
    </row>
    <row r="335" spans="1:3" hidden="1" x14ac:dyDescent="0.25">
      <c r="A335" s="1" t="s">
        <v>559</v>
      </c>
      <c r="C335" s="1" t="str">
        <f t="shared" si="5"/>
        <v>- ffq_v_tintoañej</v>
      </c>
    </row>
    <row r="336" spans="1:3" hidden="1" x14ac:dyDescent="0.25">
      <c r="A336" s="1" t="s">
        <v>560</v>
      </c>
      <c r="C336" s="1" t="str">
        <f t="shared" si="5"/>
        <v>- ffq_v_blanco</v>
      </c>
    </row>
    <row r="337" spans="1:3" hidden="1" x14ac:dyDescent="0.25">
      <c r="A337" s="1" t="s">
        <v>561</v>
      </c>
      <c r="C337" s="1" t="str">
        <f t="shared" si="5"/>
        <v>- ffq_v_rosado</v>
      </c>
    </row>
    <row r="338" spans="1:3" hidden="1" x14ac:dyDescent="0.25">
      <c r="A338" s="1" t="s">
        <v>562</v>
      </c>
      <c r="C338" s="1" t="str">
        <f t="shared" si="5"/>
        <v>- ffq_cavas</v>
      </c>
    </row>
    <row r="339" spans="1:3" hidden="1" x14ac:dyDescent="0.25">
      <c r="A339" s="1" t="s">
        <v>563</v>
      </c>
      <c r="C339" s="1" t="str">
        <f t="shared" si="5"/>
        <v>- ffq_cervezas</v>
      </c>
    </row>
    <row r="340" spans="1:3" hidden="1" x14ac:dyDescent="0.25">
      <c r="A340" s="1" t="s">
        <v>564</v>
      </c>
      <c r="C340" s="1" t="str">
        <f t="shared" si="5"/>
        <v>- ffq_cerveza_sin</v>
      </c>
    </row>
    <row r="341" spans="1:3" hidden="1" x14ac:dyDescent="0.25">
      <c r="A341" s="1" t="s">
        <v>565</v>
      </c>
      <c r="C341" s="1" t="str">
        <f t="shared" si="5"/>
        <v>- ffq_licores</v>
      </c>
    </row>
    <row r="342" spans="1:3" hidden="1" x14ac:dyDescent="0.25">
      <c r="A342" s="1" t="s">
        <v>566</v>
      </c>
      <c r="C342" s="1" t="str">
        <f t="shared" si="5"/>
        <v>- ffq_whisky</v>
      </c>
    </row>
    <row r="343" spans="1:3" hidden="1" x14ac:dyDescent="0.25">
      <c r="A343" s="1" t="s">
        <v>567</v>
      </c>
      <c r="C343" s="1" t="str">
        <f t="shared" si="5"/>
        <v>- ffq_hc</v>
      </c>
    </row>
    <row r="344" spans="1:3" hidden="1" x14ac:dyDescent="0.25">
      <c r="A344" s="1" t="s">
        <v>568</v>
      </c>
      <c r="C344" s="1" t="str">
        <f t="shared" si="5"/>
        <v>- ffq_prot</v>
      </c>
    </row>
    <row r="345" spans="1:3" hidden="1" x14ac:dyDescent="0.25">
      <c r="A345" s="1" t="s">
        <v>569</v>
      </c>
      <c r="C345" s="1" t="str">
        <f t="shared" si="5"/>
        <v>- ffq_protanim</v>
      </c>
    </row>
    <row r="346" spans="1:3" hidden="1" x14ac:dyDescent="0.25">
      <c r="A346" s="1" t="s">
        <v>570</v>
      </c>
      <c r="C346" s="1" t="str">
        <f t="shared" si="5"/>
        <v>- ffq_protveg</v>
      </c>
    </row>
    <row r="347" spans="1:3" hidden="1" x14ac:dyDescent="0.25">
      <c r="A347" s="1" t="s">
        <v>571</v>
      </c>
      <c r="C347" s="1" t="str">
        <f t="shared" si="5"/>
        <v>- ffq_grasa</v>
      </c>
    </row>
    <row r="348" spans="1:3" hidden="1" x14ac:dyDescent="0.25">
      <c r="A348" s="1" t="s">
        <v>572</v>
      </c>
      <c r="C348" s="1" t="str">
        <f t="shared" si="5"/>
        <v>- ffq_alcohol</v>
      </c>
    </row>
    <row r="349" spans="1:3" hidden="1" x14ac:dyDescent="0.25">
      <c r="A349" s="1" t="s">
        <v>573</v>
      </c>
      <c r="C349" s="1" t="str">
        <f t="shared" si="5"/>
        <v>- ffq_energiatot</v>
      </c>
    </row>
    <row r="350" spans="1:3" hidden="1" x14ac:dyDescent="0.25">
      <c r="A350" s="1" t="s">
        <v>574</v>
      </c>
      <c r="C350" s="1" t="str">
        <f t="shared" si="5"/>
        <v>- ffq_ags</v>
      </c>
    </row>
    <row r="351" spans="1:3" hidden="1" x14ac:dyDescent="0.25">
      <c r="A351" s="1" t="s">
        <v>575</v>
      </c>
      <c r="C351" s="1" t="str">
        <f t="shared" si="5"/>
        <v>- ffq_agm</v>
      </c>
    </row>
    <row r="352" spans="1:3" hidden="1" x14ac:dyDescent="0.25">
      <c r="A352" s="1" t="s">
        <v>576</v>
      </c>
      <c r="C352" s="1" t="str">
        <f t="shared" si="5"/>
        <v>- ffq_agp</v>
      </c>
    </row>
    <row r="353" spans="1:3" hidden="1" x14ac:dyDescent="0.25">
      <c r="A353" s="1" t="s">
        <v>577</v>
      </c>
      <c r="C353" s="1" t="str">
        <f t="shared" si="5"/>
        <v>- ffq_colesterol</v>
      </c>
    </row>
    <row r="354" spans="1:3" hidden="1" x14ac:dyDescent="0.25">
      <c r="A354" s="1" t="s">
        <v>578</v>
      </c>
      <c r="C354" s="1" t="str">
        <f t="shared" si="5"/>
        <v>- ffq_azucares</v>
      </c>
    </row>
    <row r="355" spans="1:3" hidden="1" x14ac:dyDescent="0.25">
      <c r="A355" s="1" t="s">
        <v>579</v>
      </c>
      <c r="C355" s="1" t="str">
        <f t="shared" si="5"/>
        <v>- ffq_fibra</v>
      </c>
    </row>
    <row r="356" spans="1:3" hidden="1" x14ac:dyDescent="0.25">
      <c r="A356" s="1" t="s">
        <v>580</v>
      </c>
      <c r="C356" s="1" t="str">
        <f t="shared" si="5"/>
        <v>- ffq_polisacaridos</v>
      </c>
    </row>
    <row r="357" spans="1:3" hidden="1" x14ac:dyDescent="0.25">
      <c r="A357" s="1" t="s">
        <v>581</v>
      </c>
      <c r="C357" s="1" t="str">
        <f t="shared" si="5"/>
        <v>- ffq_na</v>
      </c>
    </row>
    <row r="358" spans="1:3" hidden="1" x14ac:dyDescent="0.25">
      <c r="A358" s="1" t="s">
        <v>582</v>
      </c>
      <c r="C358" s="1" t="str">
        <f t="shared" si="5"/>
        <v>- ffq_k</v>
      </c>
    </row>
    <row r="359" spans="1:3" hidden="1" x14ac:dyDescent="0.25">
      <c r="A359" s="1" t="s">
        <v>583</v>
      </c>
      <c r="C359" s="1" t="str">
        <f t="shared" si="5"/>
        <v>- ffq_ca</v>
      </c>
    </row>
    <row r="360" spans="1:3" hidden="1" x14ac:dyDescent="0.25">
      <c r="A360" s="1" t="s">
        <v>584</v>
      </c>
      <c r="C360" s="1" t="str">
        <f t="shared" si="5"/>
        <v>- ffq_mg</v>
      </c>
    </row>
    <row r="361" spans="1:3" hidden="1" x14ac:dyDescent="0.25">
      <c r="A361" s="1" t="s">
        <v>585</v>
      </c>
      <c r="C361" s="1" t="str">
        <f t="shared" si="5"/>
        <v>- ffq_p</v>
      </c>
    </row>
    <row r="362" spans="1:3" hidden="1" x14ac:dyDescent="0.25">
      <c r="A362" s="1" t="s">
        <v>586</v>
      </c>
      <c r="C362" s="1" t="str">
        <f t="shared" si="5"/>
        <v>- ffq_fe</v>
      </c>
    </row>
    <row r="363" spans="1:3" hidden="1" x14ac:dyDescent="0.25">
      <c r="A363" s="1" t="s">
        <v>587</v>
      </c>
      <c r="C363" s="1" t="str">
        <f t="shared" si="5"/>
        <v>- ffq_zn</v>
      </c>
    </row>
    <row r="364" spans="1:3" hidden="1" x14ac:dyDescent="0.25">
      <c r="A364" s="1" t="s">
        <v>588</v>
      </c>
      <c r="C364" s="1" t="str">
        <f t="shared" si="5"/>
        <v>- ffq_vit_a</v>
      </c>
    </row>
    <row r="365" spans="1:3" hidden="1" x14ac:dyDescent="0.25">
      <c r="A365" s="1" t="s">
        <v>589</v>
      </c>
      <c r="C365" s="1" t="str">
        <f t="shared" si="5"/>
        <v>- ffq_retinoides</v>
      </c>
    </row>
    <row r="366" spans="1:3" hidden="1" x14ac:dyDescent="0.25">
      <c r="A366" s="1" t="s">
        <v>590</v>
      </c>
      <c r="C366" s="1" t="str">
        <f t="shared" si="5"/>
        <v>- ffq_carotenoides</v>
      </c>
    </row>
    <row r="367" spans="1:3" hidden="1" x14ac:dyDescent="0.25">
      <c r="A367" s="1" t="s">
        <v>591</v>
      </c>
      <c r="C367" s="1" t="str">
        <f t="shared" si="5"/>
        <v>- ffq_vit_d</v>
      </c>
    </row>
    <row r="368" spans="1:3" hidden="1" x14ac:dyDescent="0.25">
      <c r="A368" s="1" t="s">
        <v>592</v>
      </c>
      <c r="C368" s="1" t="str">
        <f t="shared" si="5"/>
        <v>- ffq_vit_e</v>
      </c>
    </row>
    <row r="369" spans="1:3" hidden="1" x14ac:dyDescent="0.25">
      <c r="A369" s="1" t="s">
        <v>593</v>
      </c>
      <c r="C369" s="1" t="str">
        <f t="shared" si="5"/>
        <v>- ffq_vit_b1</v>
      </c>
    </row>
    <row r="370" spans="1:3" hidden="1" x14ac:dyDescent="0.25">
      <c r="A370" s="1" t="s">
        <v>594</v>
      </c>
      <c r="C370" s="1" t="str">
        <f t="shared" si="5"/>
        <v>- ffq_vit_b2</v>
      </c>
    </row>
    <row r="371" spans="1:3" hidden="1" x14ac:dyDescent="0.25">
      <c r="A371" s="1" t="s">
        <v>595</v>
      </c>
      <c r="C371" s="1" t="str">
        <f t="shared" si="5"/>
        <v>- ffq_vit_b3</v>
      </c>
    </row>
    <row r="372" spans="1:3" hidden="1" x14ac:dyDescent="0.25">
      <c r="A372" s="1" t="s">
        <v>596</v>
      </c>
      <c r="C372" s="1" t="str">
        <f t="shared" si="5"/>
        <v>- ffq_vit_b6</v>
      </c>
    </row>
    <row r="373" spans="1:3" hidden="1" x14ac:dyDescent="0.25">
      <c r="A373" s="1" t="s">
        <v>597</v>
      </c>
      <c r="C373" s="1" t="str">
        <f t="shared" si="5"/>
        <v>- ffq_vit_b9</v>
      </c>
    </row>
    <row r="374" spans="1:3" hidden="1" x14ac:dyDescent="0.25">
      <c r="A374" s="1" t="s">
        <v>598</v>
      </c>
      <c r="C374" s="1" t="str">
        <f t="shared" si="5"/>
        <v>- ffq_vit_b12</v>
      </c>
    </row>
    <row r="375" spans="1:3" hidden="1" x14ac:dyDescent="0.25">
      <c r="A375" s="1" t="s">
        <v>599</v>
      </c>
      <c r="C375" s="1" t="str">
        <f t="shared" si="5"/>
        <v>- ffq_vit_c</v>
      </c>
    </row>
    <row r="376" spans="1:3" hidden="1" x14ac:dyDescent="0.25">
      <c r="A376" s="1" t="s">
        <v>622</v>
      </c>
      <c r="C376" s="1" t="str">
        <f t="shared" si="5"/>
        <v>- luteina</v>
      </c>
    </row>
    <row r="377" spans="1:3" hidden="1" x14ac:dyDescent="0.25">
      <c r="A377" s="1" t="s">
        <v>623</v>
      </c>
      <c r="C377" s="1" t="str">
        <f t="shared" si="5"/>
        <v>- zeaxantina</v>
      </c>
    </row>
    <row r="378" spans="1:3" hidden="1" x14ac:dyDescent="0.25">
      <c r="A378" s="1" t="s">
        <v>624</v>
      </c>
      <c r="C378" s="1" t="str">
        <f t="shared" si="5"/>
        <v>- betacriptoxantina</v>
      </c>
    </row>
    <row r="379" spans="1:3" hidden="1" x14ac:dyDescent="0.25">
      <c r="A379" s="1" t="s">
        <v>625</v>
      </c>
      <c r="C379" s="1" t="str">
        <f t="shared" si="5"/>
        <v>- alfacaroteno</v>
      </c>
    </row>
    <row r="380" spans="1:3" hidden="1" x14ac:dyDescent="0.25">
      <c r="A380" s="1" t="s">
        <v>626</v>
      </c>
      <c r="C380" s="1" t="str">
        <f t="shared" si="5"/>
        <v>- betacaroteno</v>
      </c>
    </row>
    <row r="381" spans="1:3" hidden="1" x14ac:dyDescent="0.25">
      <c r="A381" s="1" t="s">
        <v>627</v>
      </c>
      <c r="C381" s="1" t="str">
        <f t="shared" si="5"/>
        <v>- licopeno</v>
      </c>
    </row>
    <row r="382" spans="1:3" hidden="1" x14ac:dyDescent="0.25">
      <c r="A382" s="1" t="s">
        <v>628</v>
      </c>
      <c r="C382" s="1" t="str">
        <f t="shared" si="5"/>
        <v>- licopeno_5cis</v>
      </c>
    </row>
    <row r="383" spans="1:3" hidden="1" x14ac:dyDescent="0.25">
      <c r="A383" s="1" t="s">
        <v>629</v>
      </c>
      <c r="C383" s="1" t="str">
        <f t="shared" si="5"/>
        <v>- licopeno_trans</v>
      </c>
    </row>
    <row r="384" spans="1:3" hidden="1" x14ac:dyDescent="0.25">
      <c r="A384" s="1" t="s">
        <v>633</v>
      </c>
      <c r="C384" s="1" t="str">
        <f t="shared" si="5"/>
        <v>- FC_media</v>
      </c>
    </row>
    <row r="385" spans="1:3" hidden="1" x14ac:dyDescent="0.25">
      <c r="A385" s="1" t="s">
        <v>634</v>
      </c>
      <c r="C385" s="1" t="str">
        <f t="shared" si="5"/>
        <v>- cintura_media</v>
      </c>
    </row>
    <row r="386" spans="1:3" hidden="1" x14ac:dyDescent="0.25">
      <c r="A386" s="1" t="s">
        <v>635</v>
      </c>
      <c r="C386" s="1" t="str">
        <f t="shared" si="5"/>
        <v>- cadera_media</v>
      </c>
    </row>
    <row r="387" spans="1:3" hidden="1" x14ac:dyDescent="0.25">
      <c r="A387" s="1" t="s">
        <v>636</v>
      </c>
      <c r="C387" s="1" t="str">
        <f t="shared" ref="C387:C411" si="6">"- "&amp;A387</f>
        <v>- cintura_cadera</v>
      </c>
    </row>
    <row r="388" spans="1:3" hidden="1" x14ac:dyDescent="0.25">
      <c r="A388" s="1" t="s">
        <v>637</v>
      </c>
      <c r="C388" s="1" t="str">
        <f t="shared" si="6"/>
        <v>- homa_ir</v>
      </c>
    </row>
    <row r="389" spans="1:3" hidden="1" x14ac:dyDescent="0.25">
      <c r="A389" s="1" t="s">
        <v>638</v>
      </c>
      <c r="C389" s="1" t="str">
        <f t="shared" si="6"/>
        <v>- fn_score</v>
      </c>
    </row>
    <row r="390" spans="1:3" hidden="1" x14ac:dyDescent="0.25">
      <c r="A390" s="1" t="s">
        <v>640</v>
      </c>
      <c r="C390" s="1" t="str">
        <f t="shared" si="6"/>
        <v>- mortality_risk</v>
      </c>
    </row>
    <row r="391" spans="1:3" hidden="1" x14ac:dyDescent="0.25">
      <c r="A391" s="1" t="s">
        <v>641</v>
      </c>
      <c r="C391" s="1" t="str">
        <f t="shared" si="6"/>
        <v>- phenoage</v>
      </c>
    </row>
    <row r="392" spans="1:3" hidden="1" x14ac:dyDescent="0.25">
      <c r="A392" s="1" t="s">
        <v>642</v>
      </c>
      <c r="C392" s="1" t="str">
        <f t="shared" si="6"/>
        <v>- dif_crono_pheno</v>
      </c>
    </row>
    <row r="393" spans="1:3" hidden="1" x14ac:dyDescent="0.25">
      <c r="A393" s="1" t="s">
        <v>650</v>
      </c>
      <c r="C393" s="1" t="str">
        <f t="shared" si="6"/>
        <v>- adherencia_lic</v>
      </c>
    </row>
    <row r="394" spans="1:3" hidden="1" x14ac:dyDescent="0.25">
      <c r="A394" s="1" t="s">
        <v>651</v>
      </c>
      <c r="C394" s="1" t="str">
        <f t="shared" si="6"/>
        <v>- cv_percepcion_calidad_vida_100</v>
      </c>
    </row>
    <row r="395" spans="1:3" hidden="1" x14ac:dyDescent="0.25">
      <c r="A395" s="1" t="s">
        <v>652</v>
      </c>
      <c r="C395" s="1" t="str">
        <f t="shared" si="6"/>
        <v>- cv_percepcion_salud_100</v>
      </c>
    </row>
    <row r="396" spans="1:3" hidden="1" x14ac:dyDescent="0.25">
      <c r="A396" s="1" t="s">
        <v>653</v>
      </c>
      <c r="C396" s="1" t="str">
        <f t="shared" si="6"/>
        <v>- cv_physical_100</v>
      </c>
    </row>
    <row r="397" spans="1:3" hidden="1" x14ac:dyDescent="0.25">
      <c r="A397" s="1" t="s">
        <v>654</v>
      </c>
      <c r="C397" s="1" t="str">
        <f t="shared" si="6"/>
        <v>- cv_psychological_100</v>
      </c>
    </row>
    <row r="398" spans="1:3" hidden="1" x14ac:dyDescent="0.25">
      <c r="A398" s="1" t="s">
        <v>655</v>
      </c>
      <c r="C398" s="1" t="str">
        <f t="shared" si="6"/>
        <v>- cv_social_relationships_100</v>
      </c>
    </row>
    <row r="399" spans="1:3" hidden="1" x14ac:dyDescent="0.25">
      <c r="A399" s="1" t="s">
        <v>656</v>
      </c>
      <c r="C399" s="1" t="str">
        <f t="shared" si="6"/>
        <v>- cv_enviroment_100</v>
      </c>
    </row>
    <row r="400" spans="1:3" hidden="1" x14ac:dyDescent="0.25">
      <c r="A400" s="1" t="s">
        <v>657</v>
      </c>
      <c r="C400" s="1" t="str">
        <f t="shared" si="6"/>
        <v>- hads_score</v>
      </c>
    </row>
    <row r="401" spans="1:3" hidden="1" x14ac:dyDescent="0.25">
      <c r="A401" s="1" t="s">
        <v>658</v>
      </c>
      <c r="C401" s="1" t="str">
        <f t="shared" si="6"/>
        <v>- pgh_latencia</v>
      </c>
    </row>
    <row r="402" spans="1:3" hidden="1" x14ac:dyDescent="0.25">
      <c r="A402" s="1" t="s">
        <v>659</v>
      </c>
      <c r="C402" s="1" t="str">
        <f t="shared" si="6"/>
        <v>- horas_cama</v>
      </c>
    </row>
    <row r="403" spans="1:3" hidden="1" x14ac:dyDescent="0.25">
      <c r="A403" s="1" t="s">
        <v>660</v>
      </c>
      <c r="C403" s="1" t="str">
        <f t="shared" si="6"/>
        <v>- pgh_por_eficiencia</v>
      </c>
    </row>
    <row r="404" spans="1:3" hidden="1" x14ac:dyDescent="0.25">
      <c r="A404" s="1" t="s">
        <v>661</v>
      </c>
      <c r="C404" s="1" t="str">
        <f t="shared" si="6"/>
        <v>- pgh_eficiencia</v>
      </c>
    </row>
    <row r="405" spans="1:3" hidden="1" x14ac:dyDescent="0.25">
      <c r="A405" s="1" t="s">
        <v>662</v>
      </c>
      <c r="C405" s="1" t="str">
        <f t="shared" si="6"/>
        <v>- pgh_perturbaciones</v>
      </c>
    </row>
    <row r="406" spans="1:3" hidden="1" x14ac:dyDescent="0.25">
      <c r="A406" s="1" t="s">
        <v>663</v>
      </c>
      <c r="C406" s="1" t="str">
        <f t="shared" si="6"/>
        <v>- pgh_disfuncion_dia</v>
      </c>
    </row>
    <row r="407" spans="1:3" hidden="1" x14ac:dyDescent="0.25">
      <c r="A407" s="1" t="s">
        <v>664</v>
      </c>
      <c r="C407" s="1" t="str">
        <f t="shared" si="6"/>
        <v>- pgh_duracion_sueño</v>
      </c>
    </row>
    <row r="408" spans="1:3" hidden="1" x14ac:dyDescent="0.25">
      <c r="A408" s="1" t="s">
        <v>665</v>
      </c>
      <c r="C408" s="1" t="str">
        <f t="shared" si="6"/>
        <v>- pgh_total</v>
      </c>
    </row>
    <row r="409" spans="1:3" hidden="1" x14ac:dyDescent="0.25">
      <c r="A409" s="1" t="s">
        <v>666</v>
      </c>
      <c r="C409" s="1" t="str">
        <f t="shared" si="6"/>
        <v>- cat_pgh_total</v>
      </c>
    </row>
    <row r="410" spans="1:3" hidden="1" x14ac:dyDescent="0.25">
      <c r="A410" s="1" t="s">
        <v>667</v>
      </c>
      <c r="C410" s="1" t="str">
        <f t="shared" si="6"/>
        <v>- plaquetas</v>
      </c>
    </row>
    <row r="411" spans="1:3" hidden="1" x14ac:dyDescent="0.25">
      <c r="A411" s="1" t="s">
        <v>668</v>
      </c>
      <c r="C411" s="1" t="str">
        <f t="shared" si="6"/>
        <v>- vol_plaquetario</v>
      </c>
    </row>
  </sheetData>
  <autoFilter ref="A1:A411" xr:uid="{166F06B2-CCC4-458B-AB48-916FB3B91EA2}">
    <filterColumn colId="0">
      <filters>
        <filter val="albumina_orina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C12-CC63-4020-82EE-914F0329F21F}">
  <dimension ref="A1:D146"/>
  <sheetViews>
    <sheetView workbookViewId="0">
      <selection activeCell="D4" sqref="D4"/>
    </sheetView>
  </sheetViews>
  <sheetFormatPr defaultRowHeight="15" x14ac:dyDescent="0.25"/>
  <cols>
    <col min="1" max="1" width="23.85546875" style="1" customWidth="1"/>
    <col min="3" max="3" width="23.85546875" style="1" customWidth="1"/>
  </cols>
  <sheetData>
    <row r="1" spans="1:4" x14ac:dyDescent="0.25">
      <c r="A1" s="4" t="s">
        <v>7</v>
      </c>
      <c r="C1" s="4" t="s">
        <v>679</v>
      </c>
    </row>
    <row r="2" spans="1:4" x14ac:dyDescent="0.25">
      <c r="A2" s="3" t="s">
        <v>5</v>
      </c>
      <c r="C2" s="1" t="str">
        <f>"- "&amp;A2</f>
        <v>- f_inclusion</v>
      </c>
    </row>
    <row r="3" spans="1:4" x14ac:dyDescent="0.25">
      <c r="A3" s="1" t="s">
        <v>10</v>
      </c>
      <c r="C3" s="1" t="str">
        <f>"- "&amp;A3</f>
        <v>- edad</v>
      </c>
      <c r="D3" t="s">
        <v>682</v>
      </c>
    </row>
    <row r="4" spans="1:4" x14ac:dyDescent="0.25">
      <c r="A4" s="1" t="s">
        <v>16</v>
      </c>
      <c r="C4" s="1" t="str">
        <f t="shared" ref="C4:C67" si="0">"- "&amp;A4</f>
        <v>- trabajo_otro</v>
      </c>
    </row>
    <row r="5" spans="1:4" x14ac:dyDescent="0.25">
      <c r="A5" s="1" t="s">
        <v>18</v>
      </c>
      <c r="C5" s="1" t="str">
        <f t="shared" si="0"/>
        <v>- tipo_ejercicio</v>
      </c>
    </row>
    <row r="6" spans="1:4" x14ac:dyDescent="0.25">
      <c r="A6" s="1" t="s">
        <v>23</v>
      </c>
      <c r="C6" s="1" t="str">
        <f t="shared" si="0"/>
        <v>- otra_dieta</v>
      </c>
    </row>
    <row r="7" spans="1:4" x14ac:dyDescent="0.25">
      <c r="A7" s="1" t="s">
        <v>34</v>
      </c>
      <c r="C7" s="1" t="str">
        <f t="shared" si="0"/>
        <v>- Tipo_alergia</v>
      </c>
    </row>
    <row r="8" spans="1:4" x14ac:dyDescent="0.25">
      <c r="A8" s="1" t="s">
        <v>35</v>
      </c>
      <c r="C8" s="1" t="str">
        <f t="shared" si="0"/>
        <v>- tipo_apetito</v>
      </c>
    </row>
    <row r="9" spans="1:4" x14ac:dyDescent="0.25">
      <c r="A9" s="1" t="s">
        <v>37</v>
      </c>
      <c r="C9" s="1" t="str">
        <f t="shared" si="0"/>
        <v>- tipo_sueño</v>
      </c>
    </row>
    <row r="10" spans="1:4" x14ac:dyDescent="0.25">
      <c r="A10" s="1" t="s">
        <v>39</v>
      </c>
      <c r="C10" s="1" t="str">
        <f t="shared" si="0"/>
        <v>- tipo_intervencion</v>
      </c>
    </row>
    <row r="11" spans="1:4" x14ac:dyDescent="0.25">
      <c r="A11" s="1" t="s">
        <v>42</v>
      </c>
      <c r="C11" s="1" t="str">
        <f t="shared" si="0"/>
        <v>- tipo_cardiacos</v>
      </c>
    </row>
    <row r="12" spans="1:4" x14ac:dyDescent="0.25">
      <c r="A12" s="1" t="s">
        <v>43</v>
      </c>
      <c r="C12" s="1" t="str">
        <f t="shared" si="0"/>
        <v>- tipo_acvascular</v>
      </c>
    </row>
    <row r="13" spans="1:4" x14ac:dyDescent="0.25">
      <c r="A13" s="1" t="s">
        <v>44</v>
      </c>
      <c r="C13" s="1" t="str">
        <f t="shared" si="0"/>
        <v>- tipo_obesidad</v>
      </c>
    </row>
    <row r="14" spans="1:4" x14ac:dyDescent="0.25">
      <c r="A14" s="1" t="s">
        <v>45</v>
      </c>
      <c r="C14" s="1" t="str">
        <f t="shared" si="0"/>
        <v>- tipo_diabetes</v>
      </c>
    </row>
    <row r="15" spans="1:4" x14ac:dyDescent="0.25">
      <c r="A15" s="1" t="s">
        <v>46</v>
      </c>
      <c r="C15" s="1" t="str">
        <f t="shared" si="0"/>
        <v>- tipo_colesterol</v>
      </c>
    </row>
    <row r="16" spans="1:4" x14ac:dyDescent="0.25">
      <c r="A16" s="1" t="s">
        <v>47</v>
      </c>
      <c r="C16" s="1" t="str">
        <f t="shared" si="0"/>
        <v>- tipo_hta</v>
      </c>
    </row>
    <row r="17" spans="1:3" x14ac:dyDescent="0.25">
      <c r="A17" s="1" t="s">
        <v>54</v>
      </c>
      <c r="C17" s="1" t="str">
        <f t="shared" si="0"/>
        <v>- tipo_enfgastro</v>
      </c>
    </row>
    <row r="18" spans="1:3" x14ac:dyDescent="0.25">
      <c r="A18" s="1" t="s">
        <v>61</v>
      </c>
      <c r="C18" s="1" t="str">
        <f t="shared" si="0"/>
        <v>- med1</v>
      </c>
    </row>
    <row r="19" spans="1:3" x14ac:dyDescent="0.25">
      <c r="A19" s="1" t="s">
        <v>62</v>
      </c>
      <c r="C19" s="1" t="str">
        <f t="shared" si="0"/>
        <v>- med1_ruta</v>
      </c>
    </row>
    <row r="20" spans="1:3" x14ac:dyDescent="0.25">
      <c r="A20" s="1" t="s">
        <v>63</v>
      </c>
      <c r="C20" s="1" t="str">
        <f t="shared" si="0"/>
        <v>- med1_dosis</v>
      </c>
    </row>
    <row r="21" spans="1:3" x14ac:dyDescent="0.25">
      <c r="A21" s="1" t="s">
        <v>64</v>
      </c>
      <c r="C21" s="1" t="str">
        <f t="shared" si="0"/>
        <v>- med1_unidades</v>
      </c>
    </row>
    <row r="22" spans="1:3" x14ac:dyDescent="0.25">
      <c r="A22" s="1" t="s">
        <v>65</v>
      </c>
      <c r="C22" s="1" t="str">
        <f t="shared" si="0"/>
        <v>- med1_vecesdia</v>
      </c>
    </row>
    <row r="23" spans="1:3" x14ac:dyDescent="0.25">
      <c r="A23" s="1" t="s">
        <v>66</v>
      </c>
      <c r="C23" s="1" t="str">
        <f t="shared" si="0"/>
        <v>- med1_indicacion</v>
      </c>
    </row>
    <row r="24" spans="1:3" x14ac:dyDescent="0.25">
      <c r="A24" s="1" t="s">
        <v>67</v>
      </c>
      <c r="C24" s="1" t="str">
        <f t="shared" si="0"/>
        <v>- med1_ inicio</v>
      </c>
    </row>
    <row r="25" spans="1:3" x14ac:dyDescent="0.25">
      <c r="A25" s="1" t="s">
        <v>68</v>
      </c>
      <c r="C25" s="1" t="str">
        <f t="shared" si="0"/>
        <v>- med1_ final</v>
      </c>
    </row>
    <row r="26" spans="1:3" x14ac:dyDescent="0.25">
      <c r="A26" s="1" t="s">
        <v>69</v>
      </c>
      <c r="C26" s="1" t="str">
        <f t="shared" si="0"/>
        <v>- med1_continua</v>
      </c>
    </row>
    <row r="27" spans="1:3" x14ac:dyDescent="0.25">
      <c r="A27" s="1" t="s">
        <v>70</v>
      </c>
      <c r="C27" s="1" t="str">
        <f t="shared" si="0"/>
        <v>- med2</v>
      </c>
    </row>
    <row r="28" spans="1:3" x14ac:dyDescent="0.25">
      <c r="A28" s="1" t="s">
        <v>71</v>
      </c>
      <c r="C28" s="1" t="str">
        <f t="shared" si="0"/>
        <v>- med2_ruta</v>
      </c>
    </row>
    <row r="29" spans="1:3" x14ac:dyDescent="0.25">
      <c r="A29" s="1" t="s">
        <v>72</v>
      </c>
      <c r="C29" s="1" t="str">
        <f t="shared" si="0"/>
        <v>- med2_dosis</v>
      </c>
    </row>
    <row r="30" spans="1:3" x14ac:dyDescent="0.25">
      <c r="A30" s="1" t="s">
        <v>73</v>
      </c>
      <c r="C30" s="1" t="str">
        <f t="shared" si="0"/>
        <v>- med2_unidades</v>
      </c>
    </row>
    <row r="31" spans="1:3" x14ac:dyDescent="0.25">
      <c r="A31" s="1" t="s">
        <v>74</v>
      </c>
      <c r="C31" s="1" t="str">
        <f t="shared" si="0"/>
        <v>- med2_vecesdia</v>
      </c>
    </row>
    <row r="32" spans="1:3" x14ac:dyDescent="0.25">
      <c r="A32" s="1" t="s">
        <v>75</v>
      </c>
      <c r="C32" s="1" t="str">
        <f t="shared" si="0"/>
        <v>- med2_indicacion</v>
      </c>
    </row>
    <row r="33" spans="1:3" x14ac:dyDescent="0.25">
      <c r="A33" s="1" t="s">
        <v>76</v>
      </c>
      <c r="C33" s="1" t="str">
        <f t="shared" si="0"/>
        <v>- med2_ inicio</v>
      </c>
    </row>
    <row r="34" spans="1:3" x14ac:dyDescent="0.25">
      <c r="A34" s="1" t="s">
        <v>77</v>
      </c>
      <c r="C34" s="1" t="str">
        <f t="shared" si="0"/>
        <v>- med2_ final</v>
      </c>
    </row>
    <row r="35" spans="1:3" x14ac:dyDescent="0.25">
      <c r="A35" s="1" t="s">
        <v>78</v>
      </c>
      <c r="C35" s="1" t="str">
        <f t="shared" si="0"/>
        <v>- med2_continua</v>
      </c>
    </row>
    <row r="36" spans="1:3" x14ac:dyDescent="0.25">
      <c r="A36" s="1" t="s">
        <v>79</v>
      </c>
      <c r="C36" s="1" t="str">
        <f t="shared" si="0"/>
        <v>- med3</v>
      </c>
    </row>
    <row r="37" spans="1:3" x14ac:dyDescent="0.25">
      <c r="A37" s="1" t="s">
        <v>80</v>
      </c>
      <c r="C37" s="1" t="str">
        <f t="shared" si="0"/>
        <v>- med3_ruta</v>
      </c>
    </row>
    <row r="38" spans="1:3" x14ac:dyDescent="0.25">
      <c r="A38" s="1" t="s">
        <v>81</v>
      </c>
      <c r="C38" s="1" t="str">
        <f t="shared" si="0"/>
        <v>- med3_dosis</v>
      </c>
    </row>
    <row r="39" spans="1:3" x14ac:dyDescent="0.25">
      <c r="A39" s="1" t="s">
        <v>82</v>
      </c>
      <c r="C39" s="1" t="str">
        <f t="shared" si="0"/>
        <v>- med3_unidades</v>
      </c>
    </row>
    <row r="40" spans="1:3" x14ac:dyDescent="0.25">
      <c r="A40" s="1" t="s">
        <v>83</v>
      </c>
      <c r="C40" s="1" t="str">
        <f t="shared" si="0"/>
        <v>- med3_vecesdia</v>
      </c>
    </row>
    <row r="41" spans="1:3" x14ac:dyDescent="0.25">
      <c r="A41" s="1" t="s">
        <v>84</v>
      </c>
      <c r="C41" s="1" t="str">
        <f t="shared" si="0"/>
        <v>- med3_indicacion</v>
      </c>
    </row>
    <row r="42" spans="1:3" x14ac:dyDescent="0.25">
      <c r="A42" s="1" t="s">
        <v>85</v>
      </c>
      <c r="C42" s="1" t="str">
        <f t="shared" si="0"/>
        <v>- med3_ inicio</v>
      </c>
    </row>
    <row r="43" spans="1:3" x14ac:dyDescent="0.25">
      <c r="A43" s="1" t="s">
        <v>86</v>
      </c>
      <c r="C43" s="1" t="str">
        <f t="shared" si="0"/>
        <v>- med3_ final</v>
      </c>
    </row>
    <row r="44" spans="1:3" x14ac:dyDescent="0.25">
      <c r="A44" s="1" t="s">
        <v>87</v>
      </c>
      <c r="C44" s="1" t="str">
        <f t="shared" si="0"/>
        <v>- med3_continua</v>
      </c>
    </row>
    <row r="45" spans="1:3" x14ac:dyDescent="0.25">
      <c r="A45" s="1" t="s">
        <v>88</v>
      </c>
      <c r="C45" s="1" t="str">
        <f t="shared" si="0"/>
        <v>- med4</v>
      </c>
    </row>
    <row r="46" spans="1:3" x14ac:dyDescent="0.25">
      <c r="A46" s="1" t="s">
        <v>89</v>
      </c>
      <c r="C46" s="1" t="str">
        <f t="shared" si="0"/>
        <v>- med4_ruta</v>
      </c>
    </row>
    <row r="47" spans="1:3" x14ac:dyDescent="0.25">
      <c r="A47" s="1" t="s">
        <v>90</v>
      </c>
      <c r="C47" s="1" t="str">
        <f t="shared" si="0"/>
        <v>- med4_dosis</v>
      </c>
    </row>
    <row r="48" spans="1:3" x14ac:dyDescent="0.25">
      <c r="A48" s="1" t="s">
        <v>91</v>
      </c>
      <c r="C48" s="1" t="str">
        <f t="shared" si="0"/>
        <v>- med4_unidades</v>
      </c>
    </row>
    <row r="49" spans="1:3" x14ac:dyDescent="0.25">
      <c r="A49" s="1" t="s">
        <v>92</v>
      </c>
      <c r="C49" s="1" t="str">
        <f t="shared" si="0"/>
        <v>- med4_vecesdia</v>
      </c>
    </row>
    <row r="50" spans="1:3" x14ac:dyDescent="0.25">
      <c r="A50" s="1" t="s">
        <v>93</v>
      </c>
      <c r="C50" s="1" t="str">
        <f t="shared" si="0"/>
        <v>- med4_indicacion</v>
      </c>
    </row>
    <row r="51" spans="1:3" x14ac:dyDescent="0.25">
      <c r="A51" s="1" t="s">
        <v>94</v>
      </c>
      <c r="C51" s="1" t="str">
        <f t="shared" si="0"/>
        <v>- med4_ inicio</v>
      </c>
    </row>
    <row r="52" spans="1:3" x14ac:dyDescent="0.25">
      <c r="A52" s="1" t="s">
        <v>95</v>
      </c>
      <c r="C52" s="1" t="str">
        <f t="shared" si="0"/>
        <v>- med4_ final</v>
      </c>
    </row>
    <row r="53" spans="1:3" x14ac:dyDescent="0.25">
      <c r="A53" s="1" t="s">
        <v>96</v>
      </c>
      <c r="C53" s="1" t="str">
        <f t="shared" si="0"/>
        <v>- med4_continua</v>
      </c>
    </row>
    <row r="54" spans="1:3" x14ac:dyDescent="0.25">
      <c r="A54" s="1" t="s">
        <v>97</v>
      </c>
      <c r="C54" s="1" t="str">
        <f t="shared" si="0"/>
        <v>- med5</v>
      </c>
    </row>
    <row r="55" spans="1:3" x14ac:dyDescent="0.25">
      <c r="A55" s="1" t="s">
        <v>98</v>
      </c>
      <c r="C55" s="1" t="str">
        <f t="shared" si="0"/>
        <v>- med5_ruta</v>
      </c>
    </row>
    <row r="56" spans="1:3" x14ac:dyDescent="0.25">
      <c r="A56" s="1" t="s">
        <v>99</v>
      </c>
      <c r="C56" s="1" t="str">
        <f t="shared" si="0"/>
        <v>- med5_dosis</v>
      </c>
    </row>
    <row r="57" spans="1:3" x14ac:dyDescent="0.25">
      <c r="A57" s="1" t="s">
        <v>100</v>
      </c>
      <c r="C57" s="1" t="str">
        <f t="shared" si="0"/>
        <v>- med5_unidades</v>
      </c>
    </row>
    <row r="58" spans="1:3" x14ac:dyDescent="0.25">
      <c r="A58" s="1" t="s">
        <v>101</v>
      </c>
      <c r="C58" s="1" t="str">
        <f t="shared" si="0"/>
        <v>- med5_vecesdia</v>
      </c>
    </row>
    <row r="59" spans="1:3" x14ac:dyDescent="0.25">
      <c r="A59" s="1" t="s">
        <v>102</v>
      </c>
      <c r="C59" s="1" t="str">
        <f t="shared" si="0"/>
        <v>- med5_indicacion</v>
      </c>
    </row>
    <row r="60" spans="1:3" x14ac:dyDescent="0.25">
      <c r="A60" s="1" t="s">
        <v>103</v>
      </c>
      <c r="C60" s="1" t="str">
        <f t="shared" si="0"/>
        <v>- med5_ inicio</v>
      </c>
    </row>
    <row r="61" spans="1:3" x14ac:dyDescent="0.25">
      <c r="A61" s="1" t="s">
        <v>104</v>
      </c>
      <c r="C61" s="1" t="str">
        <f t="shared" si="0"/>
        <v>- med5_ final</v>
      </c>
    </row>
    <row r="62" spans="1:3" x14ac:dyDescent="0.25">
      <c r="A62" s="1" t="s">
        <v>105</v>
      </c>
      <c r="C62" s="1" t="str">
        <f t="shared" si="0"/>
        <v>- med5_continua</v>
      </c>
    </row>
    <row r="63" spans="1:3" x14ac:dyDescent="0.25">
      <c r="A63" s="1" t="s">
        <v>106</v>
      </c>
      <c r="C63" s="1" t="str">
        <f t="shared" si="0"/>
        <v>- med6</v>
      </c>
    </row>
    <row r="64" spans="1:3" x14ac:dyDescent="0.25">
      <c r="A64" s="1" t="s">
        <v>107</v>
      </c>
      <c r="C64" s="1" t="str">
        <f t="shared" si="0"/>
        <v>- med6_ruta</v>
      </c>
    </row>
    <row r="65" spans="1:3" x14ac:dyDescent="0.25">
      <c r="A65" s="1" t="s">
        <v>108</v>
      </c>
      <c r="C65" s="1" t="str">
        <f t="shared" si="0"/>
        <v>- med6_dosis</v>
      </c>
    </row>
    <row r="66" spans="1:3" x14ac:dyDescent="0.25">
      <c r="A66" s="1" t="s">
        <v>109</v>
      </c>
      <c r="C66" s="1" t="str">
        <f t="shared" si="0"/>
        <v>- med6_unidades</v>
      </c>
    </row>
    <row r="67" spans="1:3" x14ac:dyDescent="0.25">
      <c r="A67" s="1" t="s">
        <v>110</v>
      </c>
      <c r="C67" s="1" t="str">
        <f t="shared" si="0"/>
        <v>- med6_vecesdia</v>
      </c>
    </row>
    <row r="68" spans="1:3" x14ac:dyDescent="0.25">
      <c r="A68" s="1" t="s">
        <v>111</v>
      </c>
      <c r="C68" s="1" t="str">
        <f t="shared" ref="C68:C131" si="1">"- "&amp;A68</f>
        <v>- med6_indicacion</v>
      </c>
    </row>
    <row r="69" spans="1:3" x14ac:dyDescent="0.25">
      <c r="A69" s="1" t="s">
        <v>112</v>
      </c>
      <c r="C69" s="1" t="str">
        <f t="shared" si="1"/>
        <v>- med6_ inicio</v>
      </c>
    </row>
    <row r="70" spans="1:3" x14ac:dyDescent="0.25">
      <c r="A70" s="1" t="s">
        <v>113</v>
      </c>
      <c r="C70" s="1" t="str">
        <f t="shared" si="1"/>
        <v>- med6_ final</v>
      </c>
    </row>
    <row r="71" spans="1:3" x14ac:dyDescent="0.25">
      <c r="A71" s="1" t="s">
        <v>114</v>
      </c>
      <c r="C71" s="1" t="str">
        <f t="shared" si="1"/>
        <v>- med6_continua</v>
      </c>
    </row>
    <row r="72" spans="1:3" x14ac:dyDescent="0.25">
      <c r="A72" s="1" t="s">
        <v>115</v>
      </c>
      <c r="C72" s="1" t="str">
        <f t="shared" si="1"/>
        <v>- observaciones_hc</v>
      </c>
    </row>
    <row r="73" spans="1:3" x14ac:dyDescent="0.25">
      <c r="A73" s="1" t="s">
        <v>116</v>
      </c>
      <c r="C73" s="1" t="str">
        <f t="shared" si="1"/>
        <v>- fecha_visita</v>
      </c>
    </row>
    <row r="74" spans="1:3" x14ac:dyDescent="0.25">
      <c r="A74" s="1" t="s">
        <v>117</v>
      </c>
      <c r="C74" s="1" t="str">
        <f t="shared" si="1"/>
        <v>- fecha_extra</v>
      </c>
    </row>
    <row r="75" spans="1:3" x14ac:dyDescent="0.25">
      <c r="A75" s="1" t="s">
        <v>118</v>
      </c>
      <c r="C75" s="1" t="str">
        <f t="shared" si="1"/>
        <v>- fecha_analitica</v>
      </c>
    </row>
    <row r="76" spans="1:3" x14ac:dyDescent="0.25">
      <c r="A76" s="1" t="s">
        <v>119</v>
      </c>
      <c r="C76" s="1" t="str">
        <f t="shared" si="1"/>
        <v>- edad_analitica</v>
      </c>
    </row>
    <row r="77" spans="1:3" x14ac:dyDescent="0.25">
      <c r="A77" s="1" t="s">
        <v>132</v>
      </c>
      <c r="C77" s="1" t="str">
        <f t="shared" si="1"/>
        <v>- bilirrubina_directa</v>
      </c>
    </row>
    <row r="78" spans="1:3" x14ac:dyDescent="0.25">
      <c r="A78" s="1" t="s">
        <v>133</v>
      </c>
      <c r="C78" s="1" t="str">
        <f t="shared" si="1"/>
        <v>- bilirrubina_indirecta</v>
      </c>
    </row>
    <row r="79" spans="1:3" x14ac:dyDescent="0.25">
      <c r="A79" s="1" t="s">
        <v>147</v>
      </c>
      <c r="C79" s="1" t="str">
        <f t="shared" si="1"/>
        <v>- sed_orina</v>
      </c>
    </row>
    <row r="80" spans="1:3" x14ac:dyDescent="0.25">
      <c r="A80" s="1" t="s">
        <v>168</v>
      </c>
      <c r="C80" s="1" t="str">
        <f t="shared" si="1"/>
        <v>- amilasa_orina</v>
      </c>
    </row>
    <row r="81" spans="1:3" x14ac:dyDescent="0.25">
      <c r="A81" s="1" t="s">
        <v>181</v>
      </c>
      <c r="C81" s="1" t="str">
        <f t="shared" si="1"/>
        <v>- col_ldl_directo</v>
      </c>
    </row>
    <row r="82" spans="1:3" x14ac:dyDescent="0.25">
      <c r="A82" s="1" t="s">
        <v>198</v>
      </c>
      <c r="C82" s="1" t="str">
        <f t="shared" si="1"/>
        <v>- ccmh</v>
      </c>
    </row>
    <row r="83" spans="1:3" x14ac:dyDescent="0.25">
      <c r="A83" s="1" t="s">
        <v>201</v>
      </c>
      <c r="C83" s="1" t="str">
        <f t="shared" si="1"/>
        <v>- hdw</v>
      </c>
    </row>
    <row r="84" spans="1:3" x14ac:dyDescent="0.25">
      <c r="A84" s="1" t="s">
        <v>202</v>
      </c>
      <c r="C84" s="1" t="str">
        <f t="shared" si="1"/>
        <v>- macroocitos</v>
      </c>
    </row>
    <row r="85" spans="1:3" x14ac:dyDescent="0.25">
      <c r="A85" s="1" t="s">
        <v>203</v>
      </c>
      <c r="C85" s="1" t="str">
        <f t="shared" si="1"/>
        <v>- microcitos</v>
      </c>
    </row>
    <row r="86" spans="1:3" x14ac:dyDescent="0.25">
      <c r="A86" s="1" t="s">
        <v>204</v>
      </c>
      <c r="C86" s="1" t="str">
        <f t="shared" si="1"/>
        <v>- hematies_hipocromicos</v>
      </c>
    </row>
    <row r="87" spans="1:3" x14ac:dyDescent="0.25">
      <c r="A87" s="1" t="s">
        <v>205</v>
      </c>
      <c r="C87" s="1" t="str">
        <f t="shared" si="1"/>
        <v>- pdw</v>
      </c>
    </row>
    <row r="88" spans="1:3" x14ac:dyDescent="0.25">
      <c r="A88" s="1" t="s">
        <v>211</v>
      </c>
      <c r="C88" s="1" t="str">
        <f t="shared" si="1"/>
        <v>- luc_porcentaje</v>
      </c>
    </row>
    <row r="89" spans="1:3" x14ac:dyDescent="0.25">
      <c r="A89" s="1" t="s">
        <v>217</v>
      </c>
      <c r="C89" s="1" t="str">
        <f t="shared" si="1"/>
        <v>- luc</v>
      </c>
    </row>
    <row r="90" spans="1:3" x14ac:dyDescent="0.25">
      <c r="A90" s="1" t="s">
        <v>230</v>
      </c>
      <c r="C90" s="1" t="str">
        <f t="shared" si="1"/>
        <v>- anti_tpo</v>
      </c>
    </row>
    <row r="91" spans="1:3" x14ac:dyDescent="0.25">
      <c r="A91" s="1" t="s">
        <v>235</v>
      </c>
      <c r="C91" s="1" t="str">
        <f t="shared" si="1"/>
        <v>- tipo_enf</v>
      </c>
    </row>
    <row r="92" spans="1:3" x14ac:dyDescent="0.25">
      <c r="A92" s="1" t="s">
        <v>238</v>
      </c>
      <c r="C92" s="1" t="str">
        <f t="shared" si="1"/>
        <v>- med1_1</v>
      </c>
    </row>
    <row r="93" spans="1:3" x14ac:dyDescent="0.25">
      <c r="A93" s="1" t="s">
        <v>239</v>
      </c>
      <c r="C93" s="1" t="str">
        <f t="shared" si="1"/>
        <v>- med1_ruta_1</v>
      </c>
    </row>
    <row r="94" spans="1:3" x14ac:dyDescent="0.25">
      <c r="A94" s="1" t="s">
        <v>240</v>
      </c>
      <c r="C94" s="1" t="str">
        <f t="shared" si="1"/>
        <v>- med1_dosis_1</v>
      </c>
    </row>
    <row r="95" spans="1:3" x14ac:dyDescent="0.25">
      <c r="A95" s="1" t="s">
        <v>241</v>
      </c>
      <c r="C95" s="1" t="str">
        <f t="shared" si="1"/>
        <v>- med1_unidades_1</v>
      </c>
    </row>
    <row r="96" spans="1:3" x14ac:dyDescent="0.25">
      <c r="A96" s="1" t="s">
        <v>242</v>
      </c>
      <c r="C96" s="1" t="str">
        <f t="shared" si="1"/>
        <v>- med1_vecesdia_1</v>
      </c>
    </row>
    <row r="97" spans="1:3" x14ac:dyDescent="0.25">
      <c r="A97" s="1" t="s">
        <v>243</v>
      </c>
      <c r="C97" s="1" t="str">
        <f t="shared" si="1"/>
        <v>- med1_indicacion_1</v>
      </c>
    </row>
    <row r="98" spans="1:3" x14ac:dyDescent="0.25">
      <c r="A98" s="1" t="s">
        <v>244</v>
      </c>
      <c r="C98" s="1" t="str">
        <f t="shared" si="1"/>
        <v>- med1_ inicio_1</v>
      </c>
    </row>
    <row r="99" spans="1:3" x14ac:dyDescent="0.25">
      <c r="A99" s="1" t="s">
        <v>245</v>
      </c>
      <c r="C99" s="1" t="str">
        <f t="shared" si="1"/>
        <v>- med1_ final_1</v>
      </c>
    </row>
    <row r="100" spans="1:3" x14ac:dyDescent="0.25">
      <c r="A100" s="1" t="s">
        <v>246</v>
      </c>
      <c r="C100" s="1" t="str">
        <f t="shared" si="1"/>
        <v>- med1_continua_1</v>
      </c>
    </row>
    <row r="101" spans="1:3" x14ac:dyDescent="0.25">
      <c r="A101" s="1" t="s">
        <v>247</v>
      </c>
      <c r="C101" s="1" t="str">
        <f t="shared" si="1"/>
        <v>- med2_1</v>
      </c>
    </row>
    <row r="102" spans="1:3" x14ac:dyDescent="0.25">
      <c r="A102" s="1" t="s">
        <v>248</v>
      </c>
      <c r="C102" s="1" t="str">
        <f t="shared" si="1"/>
        <v>- med2_ruta_1</v>
      </c>
    </row>
    <row r="103" spans="1:3" x14ac:dyDescent="0.25">
      <c r="A103" s="1" t="s">
        <v>249</v>
      </c>
      <c r="C103" s="1" t="str">
        <f t="shared" si="1"/>
        <v>- med2_dosis_1</v>
      </c>
    </row>
    <row r="104" spans="1:3" x14ac:dyDescent="0.25">
      <c r="A104" s="1" t="s">
        <v>250</v>
      </c>
      <c r="C104" s="1" t="str">
        <f t="shared" si="1"/>
        <v>- med2_unidades_1</v>
      </c>
    </row>
    <row r="105" spans="1:3" x14ac:dyDescent="0.25">
      <c r="A105" s="1" t="s">
        <v>251</v>
      </c>
      <c r="C105" s="1" t="str">
        <f t="shared" si="1"/>
        <v>- med2_vecesdia_1</v>
      </c>
    </row>
    <row r="106" spans="1:3" x14ac:dyDescent="0.25">
      <c r="A106" s="1" t="s">
        <v>252</v>
      </c>
      <c r="C106" s="1" t="str">
        <f t="shared" si="1"/>
        <v>- med2_indicacion_1</v>
      </c>
    </row>
    <row r="107" spans="1:3" x14ac:dyDescent="0.25">
      <c r="A107" s="1" t="s">
        <v>253</v>
      </c>
      <c r="C107" s="1" t="str">
        <f t="shared" si="1"/>
        <v>- med2_ inicio_1</v>
      </c>
    </row>
    <row r="108" spans="1:3" x14ac:dyDescent="0.25">
      <c r="A108" s="1" t="s">
        <v>254</v>
      </c>
      <c r="C108" s="1" t="str">
        <f t="shared" si="1"/>
        <v>- med2_ final_1</v>
      </c>
    </row>
    <row r="109" spans="1:3" x14ac:dyDescent="0.25">
      <c r="A109" s="1" t="s">
        <v>255</v>
      </c>
      <c r="C109" s="1" t="str">
        <f t="shared" si="1"/>
        <v>- med2_continua_1</v>
      </c>
    </row>
    <row r="110" spans="1:3" x14ac:dyDescent="0.25">
      <c r="A110" s="1" t="s">
        <v>256</v>
      </c>
      <c r="C110" s="1" t="str">
        <f t="shared" si="1"/>
        <v>- med3_1</v>
      </c>
    </row>
    <row r="111" spans="1:3" x14ac:dyDescent="0.25">
      <c r="A111" s="1" t="s">
        <v>257</v>
      </c>
      <c r="C111" s="1" t="str">
        <f t="shared" si="1"/>
        <v>- med3_ruta_1</v>
      </c>
    </row>
    <row r="112" spans="1:3" x14ac:dyDescent="0.25">
      <c r="A112" s="1" t="s">
        <v>258</v>
      </c>
      <c r="C112" s="1" t="str">
        <f t="shared" si="1"/>
        <v>- med3_dosis_1</v>
      </c>
    </row>
    <row r="113" spans="1:3" x14ac:dyDescent="0.25">
      <c r="A113" s="1" t="s">
        <v>259</v>
      </c>
      <c r="C113" s="1" t="str">
        <f t="shared" si="1"/>
        <v>- med3_unidades_1</v>
      </c>
    </row>
    <row r="114" spans="1:3" x14ac:dyDescent="0.25">
      <c r="A114" s="1" t="s">
        <v>260</v>
      </c>
      <c r="C114" s="1" t="str">
        <f t="shared" si="1"/>
        <v>- med3_vecesdia_1</v>
      </c>
    </row>
    <row r="115" spans="1:3" x14ac:dyDescent="0.25">
      <c r="A115" s="1" t="s">
        <v>261</v>
      </c>
      <c r="C115" s="1" t="str">
        <f t="shared" si="1"/>
        <v>- med3_indicacion_1</v>
      </c>
    </row>
    <row r="116" spans="1:3" x14ac:dyDescent="0.25">
      <c r="A116" s="1" t="s">
        <v>262</v>
      </c>
      <c r="C116" s="1" t="str">
        <f t="shared" si="1"/>
        <v>- med3_ inicio_1</v>
      </c>
    </row>
    <row r="117" spans="1:3" x14ac:dyDescent="0.25">
      <c r="A117" s="1" t="s">
        <v>263</v>
      </c>
      <c r="C117" s="1" t="str">
        <f t="shared" si="1"/>
        <v>- med3_ final_1</v>
      </c>
    </row>
    <row r="118" spans="1:3" x14ac:dyDescent="0.25">
      <c r="A118" s="1" t="s">
        <v>264</v>
      </c>
      <c r="C118" s="1" t="str">
        <f t="shared" si="1"/>
        <v>- med3_continua_1</v>
      </c>
    </row>
    <row r="119" spans="1:3" x14ac:dyDescent="0.25">
      <c r="A119" s="1" t="s">
        <v>265</v>
      </c>
      <c r="C119" s="1" t="str">
        <f t="shared" si="1"/>
        <v>- med4_1</v>
      </c>
    </row>
    <row r="120" spans="1:3" x14ac:dyDescent="0.25">
      <c r="A120" s="1" t="s">
        <v>266</v>
      </c>
      <c r="C120" s="1" t="str">
        <f t="shared" si="1"/>
        <v>- med4_ruta_1</v>
      </c>
    </row>
    <row r="121" spans="1:3" x14ac:dyDescent="0.25">
      <c r="A121" s="1" t="s">
        <v>267</v>
      </c>
      <c r="C121" s="1" t="str">
        <f t="shared" si="1"/>
        <v>- med4_dosis_1</v>
      </c>
    </row>
    <row r="122" spans="1:3" x14ac:dyDescent="0.25">
      <c r="A122" s="1" t="s">
        <v>268</v>
      </c>
      <c r="C122" s="1" t="str">
        <f t="shared" si="1"/>
        <v>- med4_unidades_1</v>
      </c>
    </row>
    <row r="123" spans="1:3" x14ac:dyDescent="0.25">
      <c r="A123" s="1" t="s">
        <v>269</v>
      </c>
      <c r="C123" s="1" t="str">
        <f t="shared" si="1"/>
        <v>- med4_vecesdia_1</v>
      </c>
    </row>
    <row r="124" spans="1:3" x14ac:dyDescent="0.25">
      <c r="A124" s="1" t="s">
        <v>270</v>
      </c>
      <c r="C124" s="1" t="str">
        <f t="shared" si="1"/>
        <v>- med4_indicacion_1</v>
      </c>
    </row>
    <row r="125" spans="1:3" x14ac:dyDescent="0.25">
      <c r="A125" s="1" t="s">
        <v>271</v>
      </c>
      <c r="C125" s="1" t="str">
        <f t="shared" si="1"/>
        <v>- med4_ inicio_1</v>
      </c>
    </row>
    <row r="126" spans="1:3" x14ac:dyDescent="0.25">
      <c r="A126" s="1" t="s">
        <v>272</v>
      </c>
      <c r="C126" s="1" t="str">
        <f t="shared" si="1"/>
        <v>- med4_ final_1</v>
      </c>
    </row>
    <row r="127" spans="1:3" x14ac:dyDescent="0.25">
      <c r="A127" s="1" t="s">
        <v>273</v>
      </c>
      <c r="C127" s="1" t="str">
        <f t="shared" si="1"/>
        <v>- med4_continua_1</v>
      </c>
    </row>
    <row r="128" spans="1:3" x14ac:dyDescent="0.25">
      <c r="A128" s="1" t="s">
        <v>284</v>
      </c>
      <c r="C128" s="1" t="str">
        <f t="shared" si="1"/>
        <v>- FC1_izq</v>
      </c>
    </row>
    <row r="129" spans="1:3" x14ac:dyDescent="0.25">
      <c r="A129" s="1" t="s">
        <v>285</v>
      </c>
      <c r="C129" s="1" t="str">
        <f t="shared" si="1"/>
        <v>- FC2_izq</v>
      </c>
    </row>
    <row r="130" spans="1:3" x14ac:dyDescent="0.25">
      <c r="A130" s="1" t="s">
        <v>286</v>
      </c>
      <c r="C130" s="1" t="str">
        <f t="shared" si="1"/>
        <v>- FC3_izq</v>
      </c>
    </row>
    <row r="131" spans="1:3" x14ac:dyDescent="0.25">
      <c r="A131" s="1" t="s">
        <v>287</v>
      </c>
      <c r="C131" s="1" t="str">
        <f t="shared" si="1"/>
        <v>- FC1_der</v>
      </c>
    </row>
    <row r="132" spans="1:3" x14ac:dyDescent="0.25">
      <c r="A132" s="1" t="s">
        <v>288</v>
      </c>
      <c r="C132" s="1" t="str">
        <f t="shared" ref="C132:C146" si="2">"- "&amp;A132</f>
        <v>- FC2_der</v>
      </c>
    </row>
    <row r="133" spans="1:3" x14ac:dyDescent="0.25">
      <c r="A133" s="1" t="s">
        <v>289</v>
      </c>
      <c r="C133" s="1" t="str">
        <f t="shared" si="2"/>
        <v>- FC3_der</v>
      </c>
    </row>
    <row r="134" spans="1:3" x14ac:dyDescent="0.25">
      <c r="A134" s="1" t="s">
        <v>297</v>
      </c>
      <c r="C134" s="1" t="str">
        <f t="shared" si="2"/>
        <v>- cintura1</v>
      </c>
    </row>
    <row r="135" spans="1:3" x14ac:dyDescent="0.25">
      <c r="A135" s="1" t="s">
        <v>298</v>
      </c>
      <c r="C135" s="1" t="str">
        <f t="shared" si="2"/>
        <v>- cintura2</v>
      </c>
    </row>
    <row r="136" spans="1:3" x14ac:dyDescent="0.25">
      <c r="A136" s="1" t="s">
        <v>299</v>
      </c>
      <c r="C136" s="1" t="str">
        <f t="shared" si="2"/>
        <v>- cintura3</v>
      </c>
    </row>
    <row r="137" spans="1:3" x14ac:dyDescent="0.25">
      <c r="A137" s="1" t="s">
        <v>300</v>
      </c>
      <c r="C137" s="1" t="str">
        <f t="shared" si="2"/>
        <v>- cadera1</v>
      </c>
    </row>
    <row r="138" spans="1:3" x14ac:dyDescent="0.25">
      <c r="A138" s="1" t="s">
        <v>301</v>
      </c>
      <c r="C138" s="1" t="str">
        <f t="shared" si="2"/>
        <v>- cadera2</v>
      </c>
    </row>
    <row r="139" spans="1:3" x14ac:dyDescent="0.25">
      <c r="A139" s="1" t="s">
        <v>302</v>
      </c>
      <c r="C139" s="1" t="str">
        <f t="shared" si="2"/>
        <v>- cadera3</v>
      </c>
    </row>
    <row r="140" spans="1:3" x14ac:dyDescent="0.25">
      <c r="A140" s="1" t="s">
        <v>374</v>
      </c>
      <c r="C140" s="1" t="str">
        <f t="shared" si="2"/>
        <v>- pgh_5j_especifica</v>
      </c>
    </row>
    <row r="141" spans="1:3" x14ac:dyDescent="0.25">
      <c r="A141" s="1" t="s">
        <v>619</v>
      </c>
      <c r="C141" s="1" t="str">
        <f t="shared" si="2"/>
        <v>- ta_i5_t1_c1</v>
      </c>
    </row>
    <row r="142" spans="1:3" x14ac:dyDescent="0.25">
      <c r="A142" s="1" t="s">
        <v>620</v>
      </c>
      <c r="C142" s="1" t="str">
        <f t="shared" si="2"/>
        <v>- ta_i7_t1_c1</v>
      </c>
    </row>
    <row r="143" spans="1:3" x14ac:dyDescent="0.25">
      <c r="A143" s="1" t="s">
        <v>621</v>
      </c>
      <c r="C143" s="1" t="str">
        <f t="shared" si="2"/>
        <v>- tb_i9_t1_c1</v>
      </c>
    </row>
    <row r="144" spans="1:3" x14ac:dyDescent="0.25">
      <c r="A144" s="1" t="s">
        <v>631</v>
      </c>
      <c r="C144" s="1" t="str">
        <f t="shared" si="2"/>
        <v>- PAS_media</v>
      </c>
    </row>
    <row r="145" spans="1:3" x14ac:dyDescent="0.25">
      <c r="A145" s="1" t="s">
        <v>632</v>
      </c>
      <c r="C145" s="1" t="str">
        <f t="shared" si="2"/>
        <v>- PAD_media</v>
      </c>
    </row>
    <row r="146" spans="1:3" x14ac:dyDescent="0.25">
      <c r="A146" s="1" t="s">
        <v>639</v>
      </c>
      <c r="C146" s="1" t="str">
        <f t="shared" si="2"/>
        <v>- xb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F8D6-FC28-42E3-A215-A4BF25D82B23}">
  <dimension ref="A1:F43"/>
  <sheetViews>
    <sheetView tabSelected="1" workbookViewId="0">
      <selection activeCell="D9" sqref="D9:D10"/>
    </sheetView>
  </sheetViews>
  <sheetFormatPr defaultRowHeight="15" x14ac:dyDescent="0.25"/>
  <cols>
    <col min="1" max="1" width="111.85546875" style="2" customWidth="1"/>
    <col min="2" max="2" width="24" style="3" customWidth="1"/>
    <col min="3" max="3" width="11.42578125" bestFit="1" customWidth="1"/>
    <col min="4" max="4" width="23.85546875" style="1" customWidth="1"/>
  </cols>
  <sheetData>
    <row r="1" spans="1:6" x14ac:dyDescent="0.25">
      <c r="A1" s="4" t="s">
        <v>6</v>
      </c>
      <c r="B1" s="6" t="s">
        <v>7</v>
      </c>
      <c r="D1" s="4" t="s">
        <v>679</v>
      </c>
      <c r="F1" t="s">
        <v>680</v>
      </c>
    </row>
    <row r="2" spans="1:6" x14ac:dyDescent="0.25">
      <c r="A2" s="2" t="s">
        <v>9</v>
      </c>
      <c r="B2" s="3" t="s">
        <v>8</v>
      </c>
      <c r="C2" t="s">
        <v>116</v>
      </c>
      <c r="D2" s="1" t="str">
        <f t="shared" ref="D2:D43" si="0">"- "&amp;B2</f>
        <v>- f_nac</v>
      </c>
      <c r="F2" t="s">
        <v>681</v>
      </c>
    </row>
    <row r="3" spans="1:6" x14ac:dyDescent="0.25">
      <c r="A3" s="10" t="s">
        <v>683</v>
      </c>
      <c r="B3" s="3" t="s">
        <v>61</v>
      </c>
      <c r="D3" s="1" t="str">
        <f t="shared" si="0"/>
        <v>- med1</v>
      </c>
    </row>
    <row r="4" spans="1:6" x14ac:dyDescent="0.25">
      <c r="A4" s="7"/>
      <c r="B4" s="3" t="s">
        <v>70</v>
      </c>
      <c r="D4" s="1" t="str">
        <f t="shared" si="0"/>
        <v>- med2</v>
      </c>
    </row>
    <row r="5" spans="1:6" x14ac:dyDescent="0.25">
      <c r="A5" s="7"/>
      <c r="B5" s="3" t="s">
        <v>79</v>
      </c>
      <c r="D5" s="1" t="str">
        <f t="shared" si="0"/>
        <v>- med3</v>
      </c>
    </row>
    <row r="6" spans="1:6" x14ac:dyDescent="0.25">
      <c r="A6" s="7"/>
      <c r="B6" s="3" t="s">
        <v>88</v>
      </c>
      <c r="D6" s="1" t="str">
        <f t="shared" si="0"/>
        <v>- med4</v>
      </c>
    </row>
    <row r="7" spans="1:6" x14ac:dyDescent="0.25">
      <c r="A7" s="7"/>
      <c r="B7" s="3" t="s">
        <v>97</v>
      </c>
      <c r="D7" s="1" t="str">
        <f t="shared" si="0"/>
        <v>- med5</v>
      </c>
    </row>
    <row r="8" spans="1:6" x14ac:dyDescent="0.25">
      <c r="A8" s="7"/>
      <c r="B8" s="3" t="s">
        <v>106</v>
      </c>
      <c r="D8" s="1" t="str">
        <f t="shared" si="0"/>
        <v>- med6</v>
      </c>
    </row>
    <row r="9" spans="1:6" x14ac:dyDescent="0.25">
      <c r="A9" s="8" t="s">
        <v>276</v>
      </c>
      <c r="B9" s="3" t="s">
        <v>274</v>
      </c>
      <c r="D9" s="1" t="str">
        <f t="shared" si="0"/>
        <v>- ini_menst</v>
      </c>
    </row>
    <row r="10" spans="1:6" x14ac:dyDescent="0.25">
      <c r="A10" s="8"/>
      <c r="B10" s="3" t="s">
        <v>275</v>
      </c>
      <c r="D10" s="1" t="str">
        <f t="shared" si="0"/>
        <v>- fin_menst</v>
      </c>
    </row>
    <row r="11" spans="1:6" ht="30" x14ac:dyDescent="0.25">
      <c r="A11" s="5" t="s">
        <v>279</v>
      </c>
      <c r="B11" s="3" t="s">
        <v>278</v>
      </c>
      <c r="D11" s="1" t="str">
        <f t="shared" si="0"/>
        <v>- num_depo</v>
      </c>
    </row>
    <row r="12" spans="1:6" x14ac:dyDescent="0.25">
      <c r="A12" s="1" t="s">
        <v>304</v>
      </c>
      <c r="B12" s="3" t="s">
        <v>303</v>
      </c>
      <c r="D12" s="1" t="str">
        <f t="shared" si="0"/>
        <v>- observaciones</v>
      </c>
    </row>
    <row r="13" spans="1:6" x14ac:dyDescent="0.25">
      <c r="A13" s="2" t="s">
        <v>373</v>
      </c>
      <c r="B13" s="3" t="s">
        <v>372</v>
      </c>
      <c r="D13" s="1" t="str">
        <f t="shared" si="0"/>
        <v>- pgh_5j</v>
      </c>
    </row>
    <row r="14" spans="1:6" x14ac:dyDescent="0.25">
      <c r="A14" s="8" t="s">
        <v>615</v>
      </c>
      <c r="B14" s="3" t="s">
        <v>603</v>
      </c>
      <c r="D14" s="1" t="str">
        <f t="shared" si="0"/>
        <v>- tom_dias</v>
      </c>
    </row>
    <row r="15" spans="1:6" x14ac:dyDescent="0.25">
      <c r="A15" s="9"/>
      <c r="B15" s="3" t="s">
        <v>604</v>
      </c>
      <c r="D15" s="1" t="str">
        <f t="shared" si="0"/>
        <v>- tom_momento</v>
      </c>
    </row>
    <row r="16" spans="1:6" x14ac:dyDescent="0.25">
      <c r="A16" s="9"/>
      <c r="B16" s="3" t="s">
        <v>605</v>
      </c>
      <c r="D16" s="1" t="str">
        <f t="shared" si="0"/>
        <v>- tom_aceite</v>
      </c>
    </row>
    <row r="17" spans="1:4" x14ac:dyDescent="0.25">
      <c r="A17" s="9"/>
      <c r="B17" s="3" t="s">
        <v>606</v>
      </c>
      <c r="D17" s="1" t="str">
        <f t="shared" si="0"/>
        <v>- tom_crudo</v>
      </c>
    </row>
    <row r="18" spans="1:4" x14ac:dyDescent="0.25">
      <c r="A18" s="9"/>
      <c r="B18" s="3" t="s">
        <v>607</v>
      </c>
      <c r="D18" s="1" t="str">
        <f t="shared" si="0"/>
        <v>- tom_cocido</v>
      </c>
    </row>
    <row r="19" spans="1:4" x14ac:dyDescent="0.25">
      <c r="A19" s="9"/>
      <c r="B19" s="3" t="s">
        <v>608</v>
      </c>
      <c r="D19" s="1" t="str">
        <f t="shared" si="0"/>
        <v>- tom_sofrito</v>
      </c>
    </row>
    <row r="20" spans="1:4" x14ac:dyDescent="0.25">
      <c r="A20" s="9"/>
      <c r="B20" s="3" t="s">
        <v>609</v>
      </c>
      <c r="D20" s="1" t="str">
        <f t="shared" si="0"/>
        <v>- tom_horno</v>
      </c>
    </row>
    <row r="21" spans="1:4" x14ac:dyDescent="0.25">
      <c r="A21" s="9"/>
      <c r="B21" s="3" t="s">
        <v>610</v>
      </c>
      <c r="D21" s="1" t="str">
        <f t="shared" si="0"/>
        <v>- tom_micro</v>
      </c>
    </row>
    <row r="22" spans="1:4" x14ac:dyDescent="0.25">
      <c r="A22" s="9"/>
      <c r="B22" s="3" t="s">
        <v>611</v>
      </c>
      <c r="D22" s="1" t="str">
        <f t="shared" si="0"/>
        <v>- tom_fa</v>
      </c>
    </row>
    <row r="23" spans="1:4" x14ac:dyDescent="0.25">
      <c r="A23" s="9"/>
      <c r="B23" s="3" t="s">
        <v>612</v>
      </c>
      <c r="D23" s="1" t="str">
        <f t="shared" si="0"/>
        <v>- tom_otro</v>
      </c>
    </row>
    <row r="24" spans="1:4" x14ac:dyDescent="0.25">
      <c r="A24" s="9"/>
      <c r="B24" s="3" t="s">
        <v>613</v>
      </c>
      <c r="D24" s="1" t="str">
        <f t="shared" si="0"/>
        <v>- tom_no</v>
      </c>
    </row>
    <row r="25" spans="1:4" x14ac:dyDescent="0.25">
      <c r="A25" s="9"/>
      <c r="B25" s="3" t="s">
        <v>614</v>
      </c>
      <c r="D25" s="1" t="str">
        <f t="shared" si="0"/>
        <v>- tom_completo</v>
      </c>
    </row>
    <row r="26" spans="1:4" x14ac:dyDescent="0.25">
      <c r="A26" s="9" t="s">
        <v>618</v>
      </c>
      <c r="B26" s="3" t="s">
        <v>616</v>
      </c>
      <c r="D26" s="1" t="str">
        <f t="shared" si="0"/>
        <v>- g_dia_tom</v>
      </c>
    </row>
    <row r="27" spans="1:4" x14ac:dyDescent="0.25">
      <c r="A27" s="9"/>
      <c r="B27" s="3" t="s">
        <v>617</v>
      </c>
      <c r="D27" s="1" t="str">
        <f t="shared" si="0"/>
        <v>- mg_dia_licopeno</v>
      </c>
    </row>
    <row r="28" spans="1:4" x14ac:dyDescent="0.25">
      <c r="A28" s="7" t="s">
        <v>677</v>
      </c>
      <c r="B28" s="3" t="s">
        <v>150</v>
      </c>
      <c r="D28" s="1" t="str">
        <f t="shared" si="0"/>
        <v>- hemoglobina_orina</v>
      </c>
    </row>
    <row r="29" spans="1:4" x14ac:dyDescent="0.25">
      <c r="A29" s="7"/>
      <c r="B29" s="3" t="s">
        <v>151</v>
      </c>
      <c r="D29" s="1" t="str">
        <f t="shared" si="0"/>
        <v>- leucocitos_orina</v>
      </c>
    </row>
    <row r="30" spans="1:4" x14ac:dyDescent="0.25">
      <c r="A30" s="7"/>
      <c r="B30" s="3" t="s">
        <v>152</v>
      </c>
      <c r="D30" s="1" t="str">
        <f t="shared" si="0"/>
        <v>- nitritos_orina</v>
      </c>
    </row>
    <row r="31" spans="1:4" x14ac:dyDescent="0.25">
      <c r="A31" s="7"/>
      <c r="B31" s="3" t="s">
        <v>153</v>
      </c>
      <c r="D31" s="1" t="str">
        <f t="shared" si="0"/>
        <v>- albumina_orina</v>
      </c>
    </row>
    <row r="32" spans="1:4" x14ac:dyDescent="0.25">
      <c r="A32" s="7"/>
      <c r="B32" s="3" t="s">
        <v>154</v>
      </c>
      <c r="D32" s="1" t="str">
        <f t="shared" si="0"/>
        <v>- bilirrubina_orina</v>
      </c>
    </row>
    <row r="33" spans="1:4" x14ac:dyDescent="0.25">
      <c r="A33" s="7"/>
      <c r="B33" s="3" t="s">
        <v>155</v>
      </c>
      <c r="D33" s="1" t="str">
        <f t="shared" si="0"/>
        <v>- cetonas_orina</v>
      </c>
    </row>
    <row r="34" spans="1:4" x14ac:dyDescent="0.25">
      <c r="A34" s="7"/>
      <c r="B34" s="3" t="s">
        <v>156</v>
      </c>
      <c r="D34" s="1" t="str">
        <f t="shared" si="0"/>
        <v>- urobilinogeno_orina</v>
      </c>
    </row>
    <row r="35" spans="1:4" x14ac:dyDescent="0.25">
      <c r="A35" s="7"/>
      <c r="B35" s="3" t="s">
        <v>157</v>
      </c>
      <c r="D35" s="1" t="str">
        <f t="shared" si="0"/>
        <v>- glucosa_orina</v>
      </c>
    </row>
    <row r="36" spans="1:4" x14ac:dyDescent="0.25">
      <c r="A36" s="7"/>
      <c r="B36" s="3" t="s">
        <v>158</v>
      </c>
      <c r="D36" s="1" t="str">
        <f t="shared" si="0"/>
        <v>- hematies_sed</v>
      </c>
    </row>
    <row r="37" spans="1:4" x14ac:dyDescent="0.25">
      <c r="A37" s="7"/>
      <c r="B37" s="3" t="s">
        <v>159</v>
      </c>
      <c r="D37" s="1" t="str">
        <f t="shared" si="0"/>
        <v>- leucocitos_sed</v>
      </c>
    </row>
    <row r="38" spans="1:4" x14ac:dyDescent="0.25">
      <c r="A38" s="7"/>
      <c r="B38" s="3" t="s">
        <v>160</v>
      </c>
      <c r="D38" s="1" t="str">
        <f t="shared" si="0"/>
        <v>- bacterias_sed</v>
      </c>
    </row>
    <row r="39" spans="1:4" x14ac:dyDescent="0.25">
      <c r="A39" s="7"/>
      <c r="B39" s="3" t="s">
        <v>161</v>
      </c>
      <c r="D39" s="1" t="str">
        <f t="shared" si="0"/>
        <v>- celulas_epiteliales_sed</v>
      </c>
    </row>
    <row r="40" spans="1:4" x14ac:dyDescent="0.25">
      <c r="A40" s="7"/>
      <c r="B40" s="3" t="s">
        <v>162</v>
      </c>
      <c r="D40" s="1" t="str">
        <f t="shared" si="0"/>
        <v>- cilindros_hialinos_sed</v>
      </c>
    </row>
    <row r="41" spans="1:4" x14ac:dyDescent="0.25">
      <c r="A41" s="7"/>
      <c r="B41" s="3" t="s">
        <v>163</v>
      </c>
      <c r="D41" s="1" t="str">
        <f t="shared" si="0"/>
        <v>- precipitados_urat_sed</v>
      </c>
    </row>
    <row r="42" spans="1:4" x14ac:dyDescent="0.25">
      <c r="A42" s="7"/>
      <c r="B42" s="3" t="s">
        <v>164</v>
      </c>
      <c r="D42" s="1" t="str">
        <f t="shared" si="0"/>
        <v>- oxalato_calcico_sed</v>
      </c>
    </row>
    <row r="43" spans="1:4" x14ac:dyDescent="0.25">
      <c r="A43" s="7"/>
      <c r="B43" s="3" t="s">
        <v>165</v>
      </c>
      <c r="D43" s="1" t="str">
        <f t="shared" si="0"/>
        <v>- fibra_mucoide_sed</v>
      </c>
    </row>
  </sheetData>
  <mergeCells count="5">
    <mergeCell ref="A3:A8"/>
    <mergeCell ref="A9:A10"/>
    <mergeCell ref="A14:A25"/>
    <mergeCell ref="A26:A27"/>
    <mergeCell ref="A28:A43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EAB4-863E-41E4-A175-6724CD0698C2}">
  <dimension ref="A1:E41"/>
  <sheetViews>
    <sheetView workbookViewId="0">
      <selection activeCell="C24" sqref="C24"/>
    </sheetView>
  </sheetViews>
  <sheetFormatPr defaultRowHeight="15" x14ac:dyDescent="0.25"/>
  <cols>
    <col min="1" max="1" width="23.85546875" style="1" customWidth="1"/>
    <col min="3" max="3" width="23.85546875" style="1" customWidth="1"/>
  </cols>
  <sheetData>
    <row r="1" spans="1:5" x14ac:dyDescent="0.25">
      <c r="A1" s="4" t="s">
        <v>7</v>
      </c>
      <c r="C1" s="4" t="s">
        <v>679</v>
      </c>
      <c r="E1" t="s">
        <v>417</v>
      </c>
    </row>
    <row r="2" spans="1:5" x14ac:dyDescent="0.25">
      <c r="A2" s="1" t="s">
        <v>385</v>
      </c>
      <c r="C2" s="1" t="str">
        <f>"- "&amp;A2</f>
        <v>- cv_p1</v>
      </c>
      <c r="E2" t="s">
        <v>418</v>
      </c>
    </row>
    <row r="3" spans="1:5" x14ac:dyDescent="0.25">
      <c r="A3" s="1" t="s">
        <v>386</v>
      </c>
      <c r="C3" s="1" t="str">
        <f t="shared" ref="C3:C41" si="0">"- "&amp;A3</f>
        <v>- cv_p2</v>
      </c>
      <c r="E3" t="s">
        <v>678</v>
      </c>
    </row>
    <row r="4" spans="1:5" x14ac:dyDescent="0.25">
      <c r="A4" s="1" t="s">
        <v>387</v>
      </c>
      <c r="C4" s="1" t="str">
        <f t="shared" si="0"/>
        <v>- cv_p3</v>
      </c>
    </row>
    <row r="5" spans="1:5" x14ac:dyDescent="0.25">
      <c r="A5" s="1" t="s">
        <v>388</v>
      </c>
      <c r="C5" s="1" t="str">
        <f t="shared" si="0"/>
        <v>- cv_p4</v>
      </c>
    </row>
    <row r="6" spans="1:5" x14ac:dyDescent="0.25">
      <c r="A6" s="1" t="s">
        <v>389</v>
      </c>
      <c r="C6" s="1" t="str">
        <f t="shared" si="0"/>
        <v>- cv_p5</v>
      </c>
    </row>
    <row r="7" spans="1:5" x14ac:dyDescent="0.25">
      <c r="A7" s="1" t="s">
        <v>390</v>
      </c>
      <c r="C7" s="1" t="str">
        <f t="shared" si="0"/>
        <v>- cv_p6</v>
      </c>
    </row>
    <row r="8" spans="1:5" x14ac:dyDescent="0.25">
      <c r="A8" s="1" t="s">
        <v>391</v>
      </c>
      <c r="C8" s="1" t="str">
        <f t="shared" si="0"/>
        <v>- cv_p7</v>
      </c>
    </row>
    <row r="9" spans="1:5" x14ac:dyDescent="0.25">
      <c r="A9" s="1" t="s">
        <v>392</v>
      </c>
      <c r="C9" s="1" t="str">
        <f t="shared" si="0"/>
        <v>- cv_p8</v>
      </c>
    </row>
    <row r="10" spans="1:5" x14ac:dyDescent="0.25">
      <c r="A10" s="1" t="s">
        <v>393</v>
      </c>
      <c r="C10" s="1" t="str">
        <f t="shared" si="0"/>
        <v>- cv_p9</v>
      </c>
    </row>
    <row r="11" spans="1:5" x14ac:dyDescent="0.25">
      <c r="A11" s="1" t="s">
        <v>394</v>
      </c>
      <c r="C11" s="1" t="str">
        <f t="shared" si="0"/>
        <v>- cv_p10</v>
      </c>
    </row>
    <row r="12" spans="1:5" x14ac:dyDescent="0.25">
      <c r="A12" s="1" t="s">
        <v>395</v>
      </c>
      <c r="C12" s="1" t="str">
        <f t="shared" si="0"/>
        <v>- cv_p11</v>
      </c>
    </row>
    <row r="13" spans="1:5" x14ac:dyDescent="0.25">
      <c r="A13" s="1" t="s">
        <v>396</v>
      </c>
      <c r="C13" s="1" t="str">
        <f t="shared" si="0"/>
        <v>- cv_p12</v>
      </c>
    </row>
    <row r="14" spans="1:5" x14ac:dyDescent="0.25">
      <c r="A14" s="1" t="s">
        <v>397</v>
      </c>
      <c r="C14" s="1" t="str">
        <f t="shared" si="0"/>
        <v>- cv_p13</v>
      </c>
    </row>
    <row r="15" spans="1:5" x14ac:dyDescent="0.25">
      <c r="A15" s="1" t="s">
        <v>398</v>
      </c>
      <c r="C15" s="1" t="str">
        <f t="shared" si="0"/>
        <v>- cv_p14</v>
      </c>
    </row>
    <row r="16" spans="1:5" x14ac:dyDescent="0.25">
      <c r="A16" s="1" t="s">
        <v>399</v>
      </c>
      <c r="C16" s="1" t="str">
        <f t="shared" si="0"/>
        <v>- cv_p15</v>
      </c>
    </row>
    <row r="17" spans="1:3" x14ac:dyDescent="0.25">
      <c r="A17" s="1" t="s">
        <v>400</v>
      </c>
      <c r="C17" s="1" t="str">
        <f t="shared" si="0"/>
        <v>- cv_p16</v>
      </c>
    </row>
    <row r="18" spans="1:3" x14ac:dyDescent="0.25">
      <c r="A18" s="1" t="s">
        <v>401</v>
      </c>
      <c r="C18" s="1" t="str">
        <f t="shared" si="0"/>
        <v>- cv_p17</v>
      </c>
    </row>
    <row r="19" spans="1:3" x14ac:dyDescent="0.25">
      <c r="A19" s="1" t="s">
        <v>402</v>
      </c>
      <c r="C19" s="1" t="str">
        <f t="shared" si="0"/>
        <v>- cv_p18</v>
      </c>
    </row>
    <row r="20" spans="1:3" x14ac:dyDescent="0.25">
      <c r="A20" s="1" t="s">
        <v>403</v>
      </c>
      <c r="C20" s="1" t="str">
        <f t="shared" si="0"/>
        <v>- cv_p19</v>
      </c>
    </row>
    <row r="21" spans="1:3" x14ac:dyDescent="0.25">
      <c r="A21" s="1" t="s">
        <v>404</v>
      </c>
      <c r="C21" s="1" t="str">
        <f t="shared" si="0"/>
        <v>- cv_p20</v>
      </c>
    </row>
    <row r="22" spans="1:3" x14ac:dyDescent="0.25">
      <c r="A22" s="1" t="s">
        <v>405</v>
      </c>
      <c r="C22" s="1" t="str">
        <f t="shared" si="0"/>
        <v>- cv_p21</v>
      </c>
    </row>
    <row r="23" spans="1:3" x14ac:dyDescent="0.25">
      <c r="A23" s="1" t="s">
        <v>406</v>
      </c>
      <c r="C23" s="1" t="str">
        <f t="shared" si="0"/>
        <v>- cv_p22</v>
      </c>
    </row>
    <row r="24" spans="1:3" x14ac:dyDescent="0.25">
      <c r="A24" s="1" t="s">
        <v>407</v>
      </c>
      <c r="C24" s="1" t="str">
        <f t="shared" si="0"/>
        <v>- cv_p23</v>
      </c>
    </row>
    <row r="25" spans="1:3" x14ac:dyDescent="0.25">
      <c r="A25" s="1" t="s">
        <v>408</v>
      </c>
      <c r="C25" s="1" t="str">
        <f t="shared" si="0"/>
        <v>- cv_p24</v>
      </c>
    </row>
    <row r="26" spans="1:3" x14ac:dyDescent="0.25">
      <c r="A26" s="1" t="s">
        <v>409</v>
      </c>
      <c r="C26" s="1" t="str">
        <f t="shared" si="0"/>
        <v>- cv_p25</v>
      </c>
    </row>
    <row r="27" spans="1:3" x14ac:dyDescent="0.25">
      <c r="A27" s="1" t="s">
        <v>410</v>
      </c>
      <c r="C27" s="1" t="str">
        <f t="shared" si="0"/>
        <v>- cv_p26</v>
      </c>
    </row>
    <row r="28" spans="1:3" x14ac:dyDescent="0.25">
      <c r="A28" s="1" t="s">
        <v>411</v>
      </c>
      <c r="C28" s="1" t="str">
        <f t="shared" si="0"/>
        <v>- cv_percepcion_calidad_vida</v>
      </c>
    </row>
    <row r="29" spans="1:3" x14ac:dyDescent="0.25">
      <c r="A29" s="1" t="s">
        <v>412</v>
      </c>
      <c r="C29" s="1" t="str">
        <f t="shared" si="0"/>
        <v>- cv_percepcion_salud</v>
      </c>
    </row>
    <row r="30" spans="1:3" x14ac:dyDescent="0.25">
      <c r="A30" s="1" t="s">
        <v>413</v>
      </c>
      <c r="C30" s="1" t="str">
        <f t="shared" si="0"/>
        <v>- cv_physical</v>
      </c>
    </row>
    <row r="31" spans="1:3" x14ac:dyDescent="0.25">
      <c r="A31" s="1" t="s">
        <v>414</v>
      </c>
      <c r="C31" s="1" t="str">
        <f t="shared" si="0"/>
        <v>- cv_psychological</v>
      </c>
    </row>
    <row r="32" spans="1:3" x14ac:dyDescent="0.25">
      <c r="A32" s="1" t="s">
        <v>415</v>
      </c>
      <c r="C32" s="1" t="str">
        <f t="shared" si="0"/>
        <v>- cv_social_relationships</v>
      </c>
    </row>
    <row r="33" spans="1:3" x14ac:dyDescent="0.25">
      <c r="A33" s="1" t="s">
        <v>416</v>
      </c>
      <c r="C33" s="1" t="str">
        <f t="shared" si="0"/>
        <v>- cv_enviroment</v>
      </c>
    </row>
    <row r="34" spans="1:3" x14ac:dyDescent="0.25">
      <c r="A34" s="1" t="s">
        <v>669</v>
      </c>
      <c r="C34" s="1" t="str">
        <f t="shared" si="0"/>
        <v>- isi_1a</v>
      </c>
    </row>
    <row r="35" spans="1:3" x14ac:dyDescent="0.25">
      <c r="A35" s="1" t="s">
        <v>670</v>
      </c>
      <c r="C35" s="1" t="str">
        <f t="shared" si="0"/>
        <v>- isi_1b</v>
      </c>
    </row>
    <row r="36" spans="1:3" x14ac:dyDescent="0.25">
      <c r="A36" s="1" t="s">
        <v>671</v>
      </c>
      <c r="C36" s="1" t="str">
        <f t="shared" si="0"/>
        <v>- isi_1c</v>
      </c>
    </row>
    <row r="37" spans="1:3" x14ac:dyDescent="0.25">
      <c r="A37" s="1" t="s">
        <v>672</v>
      </c>
      <c r="C37" s="1" t="str">
        <f t="shared" si="0"/>
        <v>- isi_2</v>
      </c>
    </row>
    <row r="38" spans="1:3" x14ac:dyDescent="0.25">
      <c r="A38" s="1" t="s">
        <v>673</v>
      </c>
      <c r="C38" s="1" t="str">
        <f t="shared" si="0"/>
        <v>- isi_3</v>
      </c>
    </row>
    <row r="39" spans="1:3" x14ac:dyDescent="0.25">
      <c r="A39" s="1" t="s">
        <v>674</v>
      </c>
      <c r="C39" s="1" t="str">
        <f t="shared" si="0"/>
        <v>- isi_4</v>
      </c>
    </row>
    <row r="40" spans="1:3" x14ac:dyDescent="0.25">
      <c r="A40" s="1" t="s">
        <v>675</v>
      </c>
      <c r="C40" s="1" t="str">
        <f t="shared" si="0"/>
        <v>- isi_5</v>
      </c>
    </row>
    <row r="41" spans="1:3" x14ac:dyDescent="0.25">
      <c r="A41" s="1" t="s">
        <v>676</v>
      </c>
      <c r="C41" s="1" t="str">
        <f t="shared" si="0"/>
        <v>- isi_total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85D4-818E-4B40-BC12-882E64011581}">
  <dimension ref="A1:D8"/>
  <sheetViews>
    <sheetView workbookViewId="0">
      <selection activeCell="B2" sqref="B2:B8"/>
    </sheetView>
  </sheetViews>
  <sheetFormatPr defaultRowHeight="15" x14ac:dyDescent="0.25"/>
  <cols>
    <col min="1" max="1" width="111.85546875" customWidth="1"/>
    <col min="2" max="2" width="18.42578125" style="1" customWidth="1"/>
    <col min="4" max="4" width="23.85546875" style="1" customWidth="1"/>
  </cols>
  <sheetData>
    <row r="1" spans="1:4" x14ac:dyDescent="0.25">
      <c r="B1" s="4" t="s">
        <v>7</v>
      </c>
      <c r="D1" s="4" t="s">
        <v>679</v>
      </c>
    </row>
    <row r="2" spans="1:4" x14ac:dyDescent="0.25">
      <c r="B2" s="1" t="s">
        <v>630</v>
      </c>
      <c r="D2" s="1" t="str">
        <f>"- "&amp;B2</f>
        <v>- bdnf</v>
      </c>
    </row>
    <row r="3" spans="1:4" x14ac:dyDescent="0.25">
      <c r="A3" s="8" t="s">
        <v>649</v>
      </c>
      <c r="B3" s="1" t="s">
        <v>643</v>
      </c>
      <c r="D3" s="1" t="str">
        <f t="shared" ref="D3:D8" si="0">"- "&amp;B3</f>
        <v>- delta_bdnf</v>
      </c>
    </row>
    <row r="4" spans="1:4" x14ac:dyDescent="0.25">
      <c r="A4" s="9"/>
      <c r="B4" s="1" t="s">
        <v>644</v>
      </c>
      <c r="D4" s="1" t="str">
        <f t="shared" si="0"/>
        <v>- delta_d2_con_pd</v>
      </c>
    </row>
    <row r="5" spans="1:4" x14ac:dyDescent="0.25">
      <c r="A5" s="9"/>
      <c r="B5" s="1" t="s">
        <v>645</v>
      </c>
      <c r="D5" s="1" t="str">
        <f t="shared" si="0"/>
        <v>- delta_d2_vt_pd</v>
      </c>
    </row>
    <row r="6" spans="1:4" x14ac:dyDescent="0.25">
      <c r="A6" s="9"/>
      <c r="B6" s="1" t="s">
        <v>646</v>
      </c>
      <c r="D6" s="1" t="str">
        <f t="shared" si="0"/>
        <v>- delta_fn_nombre</v>
      </c>
    </row>
    <row r="7" spans="1:4" x14ac:dyDescent="0.25">
      <c r="A7" s="9"/>
      <c r="B7" s="1" t="s">
        <v>647</v>
      </c>
      <c r="D7" s="1" t="str">
        <f t="shared" si="0"/>
        <v>- delta_fn_score</v>
      </c>
    </row>
    <row r="8" spans="1:4" x14ac:dyDescent="0.25">
      <c r="A8" s="9"/>
      <c r="B8" s="1" t="s">
        <v>648</v>
      </c>
      <c r="D8" s="1" t="str">
        <f t="shared" si="0"/>
        <v>- delta_licopeno</v>
      </c>
    </row>
  </sheetData>
  <mergeCells count="1">
    <mergeCell ref="A3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Replicar</vt:lpstr>
      <vt:lpstr>Rellenar con más cercano</vt:lpstr>
      <vt:lpstr>Eliminar Variable</vt:lpstr>
      <vt:lpstr>Especial</vt:lpstr>
      <vt:lpstr>Categoricas Temporales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Mardonio Manuel Román Ramírez</dc:creator>
  <cp:lastModifiedBy>Mardonio Manuel Román Ramírez</cp:lastModifiedBy>
  <dcterms:created xsi:type="dcterms:W3CDTF">2026-01-30T01:56:45Z</dcterms:created>
  <dcterms:modified xsi:type="dcterms:W3CDTF">2026-01-30T23:44:53Z</dcterms:modified>
</cp:coreProperties>
</file>