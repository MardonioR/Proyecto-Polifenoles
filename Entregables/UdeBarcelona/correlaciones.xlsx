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Entregables\UdeBarcelona\"/>
    </mc:Choice>
  </mc:AlternateContent>
  <xr:revisionPtr revIDLastSave="0" documentId="13_ncr:1_{4C108654-43B7-4B5F-A028-C93478E8FBAA}" xr6:coauthVersionLast="47" xr6:coauthVersionMax="47" xr10:uidLastSave="{00000000-0000-0000-0000-000000000000}"/>
  <bookViews>
    <workbookView xWindow="28680" yWindow="-10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<sst xmlns="http://schemas.openxmlformats.org/spreadsheetml/2006/main" count="309" uniqueCount="119">
  <si>
    <t>var_a</t>
  </si>
  <si>
    <t>var_b</t>
  </si>
  <si>
    <t>abs_corr</t>
  </si>
  <si>
    <t>rule</t>
  </si>
  <si>
    <t>kept</t>
  </si>
  <si>
    <t>dropped</t>
  </si>
  <si>
    <t>PAS_der</t>
  </si>
  <si>
    <t>PAS_izq</t>
  </si>
  <si>
    <t>keep_higher_corr_with_target</t>
  </si>
  <si>
    <t>ffq_k</t>
  </si>
  <si>
    <t>ffq_fe</t>
  </si>
  <si>
    <t>ffq_mg</t>
  </si>
  <si>
    <t>ffq_vit_b6</t>
  </si>
  <si>
    <t>ffq_vit_b9</t>
  </si>
  <si>
    <t>cv_physical</t>
  </si>
  <si>
    <t>cv_physical_100</t>
  </si>
  <si>
    <t>d2_con_pd</t>
  </si>
  <si>
    <t>d2_con4_pd</t>
  </si>
  <si>
    <t>d2_con3_pd</t>
  </si>
  <si>
    <t>d2_con_pt</t>
  </si>
  <si>
    <t>d2_con2_pd</t>
  </si>
  <si>
    <t>d2_con_pc</t>
  </si>
  <si>
    <t>d2_con1_pd</t>
  </si>
  <si>
    <t>hierro</t>
  </si>
  <si>
    <t>saturacion_transferrina</t>
  </si>
  <si>
    <t>transferrina</t>
  </si>
  <si>
    <t>capacidad_ligar_hierro</t>
  </si>
  <si>
    <t>d2_vt_pd</t>
  </si>
  <si>
    <t>d2_vt_pt</t>
  </si>
  <si>
    <t>d2_vt_pc</t>
  </si>
  <si>
    <t>inr</t>
  </si>
  <si>
    <t>tiempo_protrombina</t>
  </si>
  <si>
    <t>tiempo_protrombina_rati</t>
  </si>
  <si>
    <t>hematocrito</t>
  </si>
  <si>
    <t>hemoglobina</t>
  </si>
  <si>
    <t>min_cama</t>
  </si>
  <si>
    <t>min_dormir</t>
  </si>
  <si>
    <t>ffq_ags</t>
  </si>
  <si>
    <t>ffq_grasa</t>
  </si>
  <si>
    <t>ffq_prot</t>
  </si>
  <si>
    <t>ffq_p</t>
  </si>
  <si>
    <t>ffq_zn</t>
  </si>
  <si>
    <t>af_ligera_porcentaje</t>
  </si>
  <si>
    <t>af_mv_procentaje</t>
  </si>
  <si>
    <t>af_mv</t>
  </si>
  <si>
    <t>cv_p2</t>
  </si>
  <si>
    <t>cv_percepcion_salud_100</t>
  </si>
  <si>
    <t>cv_percepcion_salud</t>
  </si>
  <si>
    <t>PAD_izq</t>
  </si>
  <si>
    <t>PAD_der</t>
  </si>
  <si>
    <t>insulina</t>
  </si>
  <si>
    <t>homa_ir</t>
  </si>
  <si>
    <t>wcst_ife_pd</t>
  </si>
  <si>
    <t>wcst_ife_t</t>
  </si>
  <si>
    <t>cv_enviroment_100</t>
  </si>
  <si>
    <t>cv_enviroment</t>
  </si>
  <si>
    <t>ind_frag_sueño</t>
  </si>
  <si>
    <t>ind_frag</t>
  </si>
  <si>
    <t>mortality_risk</t>
  </si>
  <si>
    <t>phenoage</t>
  </si>
  <si>
    <t>ffq_vit_a</t>
  </si>
  <si>
    <t>ffq_carotenoides</t>
  </si>
  <si>
    <t>col_ldl</t>
  </si>
  <si>
    <t>col_total</t>
  </si>
  <si>
    <t>apolipoproteina_b</t>
  </si>
  <si>
    <t>hads_score</t>
  </si>
  <si>
    <t>ansiedad</t>
  </si>
  <si>
    <t>mg_dia_licopeno</t>
  </si>
  <si>
    <t>peso</t>
  </si>
  <si>
    <t>tmb</t>
  </si>
  <si>
    <t>g_dia_tom</t>
  </si>
  <si>
    <t>d2_e_pd</t>
  </si>
  <si>
    <t>d2_e_pt</t>
  </si>
  <si>
    <t>d2_e_pc</t>
  </si>
  <si>
    <t>wcst_pp_pd</t>
  </si>
  <si>
    <t>wcst_ep_pd</t>
  </si>
  <si>
    <t>eficiencia_sueño</t>
  </si>
  <si>
    <t>waso</t>
  </si>
  <si>
    <t>albumina_porcentaje</t>
  </si>
  <si>
    <t>indice_albumina_globulinas</t>
  </si>
  <si>
    <t>licopeno_5cis</t>
  </si>
  <si>
    <t>licopeno_trans</t>
  </si>
  <si>
    <t>licopeno</t>
  </si>
  <si>
    <t>wcst_te_t</t>
  </si>
  <si>
    <t>wcst_te_pd</t>
  </si>
  <si>
    <t>cv_psychological</t>
  </si>
  <si>
    <t>cv_psychological_100</t>
  </si>
  <si>
    <t>pgh_duracion_sueño</t>
  </si>
  <si>
    <t>pgh_h_dormir</t>
  </si>
  <si>
    <t>cv_p1</t>
  </si>
  <si>
    <t>cv_percepcion_calidad_vida</t>
  </si>
  <si>
    <t>cv_percepcion_calidad_vida_100</t>
  </si>
  <si>
    <t>ffq_protveg</t>
  </si>
  <si>
    <t>ffq_fibra</t>
  </si>
  <si>
    <t>musculo</t>
  </si>
  <si>
    <t>grasa</t>
  </si>
  <si>
    <t>neutrofilos</t>
  </si>
  <si>
    <t>leucocitos</t>
  </si>
  <si>
    <t>cv_social_relationships</t>
  </si>
  <si>
    <t>cv_social_relationships_100</t>
  </si>
  <si>
    <t>Quedarnos con la media y eliminar las dos</t>
  </si>
  <si>
    <t>despues del guion bajo es el elemento</t>
  </si>
  <si>
    <t>Quedarnos con el potasio</t>
  </si>
  <si>
    <t>Quedarnos con cv_physical</t>
  </si>
  <si>
    <t>Quedarnos con d2_con_pd</t>
  </si>
  <si>
    <t>Quedarnos con hierro</t>
  </si>
  <si>
    <t>Quedarnos con d2_vt_pd</t>
  </si>
  <si>
    <t>Quedarnos con inr</t>
  </si>
  <si>
    <t>Quedarnos con ffq_prot</t>
  </si>
  <si>
    <t>Quedarnos con af_ligera_porcentaje</t>
  </si>
  <si>
    <t>Quedarnos con insulina</t>
  </si>
  <si>
    <t>Quedarnos con wcst_ife_pd</t>
  </si>
  <si>
    <t>Quedarnos con ind_frag_sueño</t>
  </si>
  <si>
    <t>ambas representan metabolismo del hierro</t>
  </si>
  <si>
    <t>Transferrina</t>
  </si>
  <si>
    <t>Quedarnos con cv_percepcion_salud</t>
  </si>
  <si>
    <t>Quedarnos con cv_enviroment</t>
  </si>
  <si>
    <t>Quedarnos con phenoage</t>
  </si>
  <si>
    <t>Por quedarons con las que no tienen 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</si>
</sst>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do\Documents\Repositories\Proyecto-Polifenoles\Entregables\UdeBarcelona\hallazgos_LMM.xlsx" TargetMode="External"/><Relationship Id="rId1" Type="http://schemas.openxmlformats.org/officeDocument/2006/relationships/externalLinkPath" Target="hallazgos_LM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tiempo_tromboplastina</v>
          </cell>
        </row>
        <row r="3">
          <cell r="B3" t="str">
            <v>waso</v>
          </cell>
        </row>
        <row r="4">
          <cell r="B4" t="str">
            <v>phenoage</v>
          </cell>
        </row>
        <row r="5">
          <cell r="B5" t="str">
            <v>tiempo_protrombina</v>
          </cell>
        </row>
        <row r="6">
          <cell r="B6" t="str">
            <v>eficiencia_sueño</v>
          </cell>
        </row>
        <row r="7">
          <cell r="B7" t="str">
            <v>d2_con_pc</v>
          </cell>
        </row>
        <row r="8">
          <cell r="B8" t="str">
            <v>tiempo_protrombina_rati</v>
          </cell>
        </row>
        <row r="9">
          <cell r="B9" t="str">
            <v>d2_con_pt</v>
          </cell>
        </row>
        <row r="10">
          <cell r="B10" t="str">
            <v>monocitos_porcentaje</v>
          </cell>
        </row>
        <row r="11">
          <cell r="B11" t="str">
            <v>apolipoproteina_b</v>
          </cell>
        </row>
        <row r="12">
          <cell r="B12" t="str">
            <v>fn_letra</v>
          </cell>
        </row>
        <row r="13">
          <cell r="B13" t="str">
            <v>cintura_media</v>
          </cell>
        </row>
        <row r="14">
          <cell r="B14" t="str">
            <v>mortality_risk</v>
          </cell>
        </row>
        <row r="15">
          <cell r="B15" t="str">
            <v>chcm</v>
          </cell>
        </row>
        <row r="16">
          <cell r="B16" t="str">
            <v>inr</v>
          </cell>
        </row>
        <row r="17">
          <cell r="B17" t="str">
            <v>d2_con2_pd</v>
          </cell>
        </row>
        <row r="18">
          <cell r="B18" t="str">
            <v>fosfatasa_alcalina</v>
          </cell>
        </row>
        <row r="19">
          <cell r="B19" t="str">
            <v>FC_media</v>
          </cell>
        </row>
        <row r="20">
          <cell r="B20" t="str">
            <v>d2_vt_pc</v>
          </cell>
        </row>
        <row r="21">
          <cell r="B21" t="str">
            <v>hemoglobina_glicada</v>
          </cell>
        </row>
        <row r="22">
          <cell r="B22" t="str">
            <v>d2_con_pd</v>
          </cell>
        </row>
        <row r="23">
          <cell r="B23" t="str">
            <v>licopeno_5cis</v>
          </cell>
        </row>
        <row r="24">
          <cell r="B24" t="str">
            <v>d2_vt_pt</v>
          </cell>
        </row>
        <row r="25">
          <cell r="B25" t="str">
            <v>PAD_izq</v>
          </cell>
        </row>
        <row r="26">
          <cell r="B26" t="str">
            <v>d2_vt_pd</v>
          </cell>
        </row>
        <row r="27">
          <cell r="B27" t="str">
            <v>d2_con1_pd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D28" zoomScale="115" zoomScaleNormal="115" workbookViewId="0">
      <selection activeCell="H35" sqref="H35:H57"/>
    </sheetView>
  </sheetViews>
  <sheetFormatPr defaultRowHeight="15" x14ac:dyDescent="0.25"/>
  <cols>
    <col min="1" max="7" width="32.42578125" style="2" customWidth="1"/>
    <col min="8" max="8" width="39" style="6" bestFit="1" customWidth="1"/>
    <col min="9" max="9" width="38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/>
    </row>
    <row r="2" spans="1:9" x14ac:dyDescent="0.25">
      <c r="A2" s="2" t="s">
        <v>6</v>
      </c>
      <c r="B2" s="2" t="s">
        <v>7</v>
      </c>
      <c r="C2" s="2">
        <v>0.91003117043027848</v>
      </c>
      <c r="D2" s="2" t="s">
        <v>8</v>
      </c>
      <c r="E2" s="2" t="s">
        <v>6</v>
      </c>
      <c r="F2" s="2" t="s">
        <v>7</v>
      </c>
      <c r="G2" s="2" t="e">
        <f>VLOOKUP(F2,[1]Sheet1!$B$2:$B$27,1,0)</f>
        <v>#N/A</v>
      </c>
      <c r="H2" s="7" t="s">
        <v>100</v>
      </c>
    </row>
    <row r="3" spans="1:9" x14ac:dyDescent="0.25">
      <c r="A3" s="2" t="s">
        <v>9</v>
      </c>
      <c r="B3" s="2" t="s">
        <v>10</v>
      </c>
      <c r="C3" s="2">
        <v>0.91450845398400327</v>
      </c>
      <c r="D3" s="2" t="s">
        <v>8</v>
      </c>
      <c r="E3" s="2" t="s">
        <v>9</v>
      </c>
      <c r="F3" s="2" t="s">
        <v>10</v>
      </c>
      <c r="G3" s="2" t="e">
        <f>VLOOKUP(F3,[1]Sheet1!$B$2:$B$27,1,0)</f>
        <v>#N/A</v>
      </c>
      <c r="H3" s="4" t="s">
        <v>102</v>
      </c>
      <c r="I3" s="3" t="s">
        <v>101</v>
      </c>
    </row>
    <row r="4" spans="1:9" x14ac:dyDescent="0.25">
      <c r="A4" s="2" t="s">
        <v>9</v>
      </c>
      <c r="B4" s="2" t="s">
        <v>11</v>
      </c>
      <c r="C4" s="2">
        <v>0.92147413182140325</v>
      </c>
      <c r="D4" s="2" t="s">
        <v>8</v>
      </c>
      <c r="E4" s="2" t="s">
        <v>9</v>
      </c>
      <c r="F4" s="2" t="s">
        <v>11</v>
      </c>
      <c r="G4" s="2" t="e">
        <f>VLOOKUP(F4,[1]Sheet1!$B$2:$B$27,1,0)</f>
        <v>#N/A</v>
      </c>
      <c r="H4" s="4"/>
    </row>
    <row r="5" spans="1:9" x14ac:dyDescent="0.25">
      <c r="A5" s="2" t="s">
        <v>9</v>
      </c>
      <c r="B5" s="2" t="s">
        <v>12</v>
      </c>
      <c r="C5" s="2">
        <v>0.93633694441632076</v>
      </c>
      <c r="D5" s="2" t="s">
        <v>8</v>
      </c>
      <c r="E5" s="2" t="s">
        <v>9</v>
      </c>
      <c r="F5" s="2" t="s">
        <v>12</v>
      </c>
      <c r="G5" s="2" t="e">
        <f>VLOOKUP(F5,[1]Sheet1!$B$2:$B$27,1,0)</f>
        <v>#N/A</v>
      </c>
      <c r="H5" s="4"/>
    </row>
    <row r="6" spans="1:9" x14ac:dyDescent="0.25">
      <c r="A6" s="2" t="s">
        <v>9</v>
      </c>
      <c r="B6" s="2" t="s">
        <v>13</v>
      </c>
      <c r="C6" s="2">
        <v>0.90974992406601196</v>
      </c>
      <c r="D6" s="2" t="s">
        <v>8</v>
      </c>
      <c r="E6" s="2" t="s">
        <v>9</v>
      </c>
      <c r="F6" s="2" t="s">
        <v>13</v>
      </c>
      <c r="G6" s="2" t="e">
        <f>VLOOKUP(F6,[1]Sheet1!$B$2:$B$27,1,0)</f>
        <v>#N/A</v>
      </c>
      <c r="H6" s="4"/>
    </row>
    <row r="7" spans="1:9" x14ac:dyDescent="0.25">
      <c r="A7" s="2" t="s">
        <v>14</v>
      </c>
      <c r="B7" s="2" t="s">
        <v>15</v>
      </c>
      <c r="C7" s="2">
        <v>1</v>
      </c>
      <c r="D7" s="2" t="s">
        <v>8</v>
      </c>
      <c r="E7" s="2" t="s">
        <v>14</v>
      </c>
      <c r="F7" s="2" t="s">
        <v>15</v>
      </c>
      <c r="G7" s="2" t="e">
        <f>VLOOKUP(F7,[1]Sheet1!$B$2:$B$27,1,0)</f>
        <v>#N/A</v>
      </c>
      <c r="H7" s="7" t="s">
        <v>103</v>
      </c>
    </row>
    <row r="8" spans="1:9" x14ac:dyDescent="0.25">
      <c r="A8" s="2" t="s">
        <v>16</v>
      </c>
      <c r="B8" s="2" t="s">
        <v>17</v>
      </c>
      <c r="C8" s="2">
        <v>0.92749503515336018</v>
      </c>
      <c r="D8" s="2" t="s">
        <v>8</v>
      </c>
      <c r="E8" s="2" t="s">
        <v>16</v>
      </c>
      <c r="F8" s="2" t="s">
        <v>17</v>
      </c>
      <c r="G8" s="2" t="e">
        <f>VLOOKUP(F8,[1]Sheet1!$B$2:$B$27,1,0)</f>
        <v>#N/A</v>
      </c>
      <c r="H8" s="5" t="s">
        <v>104</v>
      </c>
    </row>
    <row r="9" spans="1:9" x14ac:dyDescent="0.25">
      <c r="A9" s="2" t="s">
        <v>16</v>
      </c>
      <c r="B9" s="2" t="s">
        <v>18</v>
      </c>
      <c r="C9" s="2">
        <v>0.95263544556214774</v>
      </c>
      <c r="D9" s="2" t="s">
        <v>8</v>
      </c>
      <c r="E9" s="2" t="s">
        <v>16</v>
      </c>
      <c r="F9" s="2" t="s">
        <v>18</v>
      </c>
      <c r="G9" s="2" t="e">
        <f>VLOOKUP(F9,[1]Sheet1!$B$2:$B$27,1,0)</f>
        <v>#N/A</v>
      </c>
      <c r="H9" s="5"/>
    </row>
    <row r="10" spans="1:9" x14ac:dyDescent="0.25">
      <c r="A10" s="2" t="s">
        <v>16</v>
      </c>
      <c r="B10" s="2" t="s">
        <v>19</v>
      </c>
      <c r="C10" s="2">
        <v>0.96499557017613113</v>
      </c>
      <c r="D10" s="2" t="s">
        <v>8</v>
      </c>
      <c r="E10" s="2" t="s">
        <v>16</v>
      </c>
      <c r="F10" s="2" t="s">
        <v>19</v>
      </c>
      <c r="G10" s="2" t="str">
        <f>VLOOKUP(F10,[1]Sheet1!$B$2:$B$27,1,0)</f>
        <v>d2_con_pt</v>
      </c>
      <c r="H10" s="5"/>
    </row>
    <row r="11" spans="1:9" x14ac:dyDescent="0.25">
      <c r="A11" s="2" t="s">
        <v>16</v>
      </c>
      <c r="B11" s="2" t="s">
        <v>20</v>
      </c>
      <c r="C11" s="2">
        <v>0.96350045298242393</v>
      </c>
      <c r="D11" s="2" t="s">
        <v>8</v>
      </c>
      <c r="E11" s="2" t="s">
        <v>16</v>
      </c>
      <c r="F11" s="2" t="s">
        <v>20</v>
      </c>
      <c r="G11" s="2" t="str">
        <f>VLOOKUP(F11,[1]Sheet1!$B$2:$B$27,1,0)</f>
        <v>d2_con2_pd</v>
      </c>
      <c r="H11" s="5"/>
    </row>
    <row r="12" spans="1:9" x14ac:dyDescent="0.25">
      <c r="A12" s="2" t="s">
        <v>16</v>
      </c>
      <c r="B12" s="2" t="s">
        <v>21</v>
      </c>
      <c r="C12" s="2">
        <v>0.96459192546468708</v>
      </c>
      <c r="D12" s="2" t="s">
        <v>8</v>
      </c>
      <c r="E12" s="2" t="s">
        <v>16</v>
      </c>
      <c r="F12" s="2" t="s">
        <v>21</v>
      </c>
      <c r="G12" s="2" t="str">
        <f>VLOOKUP(F12,[1]Sheet1!$B$2:$B$27,1,0)</f>
        <v>d2_con_pc</v>
      </c>
      <c r="H12" s="5"/>
    </row>
    <row r="13" spans="1:9" x14ac:dyDescent="0.25">
      <c r="A13" s="2" t="s">
        <v>16</v>
      </c>
      <c r="B13" s="2" t="s">
        <v>22</v>
      </c>
      <c r="C13" s="2">
        <v>0.93641443448309769</v>
      </c>
      <c r="D13" s="2" t="s">
        <v>8</v>
      </c>
      <c r="E13" s="2" t="s">
        <v>16</v>
      </c>
      <c r="F13" s="2" t="s">
        <v>22</v>
      </c>
      <c r="G13" s="2" t="str">
        <f>VLOOKUP(F13,[1]Sheet1!$B$2:$B$27,1,0)</f>
        <v>d2_con1_pd</v>
      </c>
      <c r="H13" s="5"/>
    </row>
    <row r="14" spans="1:9" x14ac:dyDescent="0.25">
      <c r="A14" s="2" t="s">
        <v>23</v>
      </c>
      <c r="B14" s="2" t="s">
        <v>24</v>
      </c>
      <c r="C14" s="2">
        <v>0.91616879213876157</v>
      </c>
      <c r="D14" s="2" t="s">
        <v>8</v>
      </c>
      <c r="E14" s="2" t="s">
        <v>23</v>
      </c>
      <c r="F14" s="2" t="s">
        <v>24</v>
      </c>
      <c r="G14" s="2" t="e">
        <f>VLOOKUP(F14,[1]Sheet1!$B$2:$B$27,1,0)</f>
        <v>#N/A</v>
      </c>
      <c r="H14" s="7" t="s">
        <v>105</v>
      </c>
      <c r="I14" s="2" t="s">
        <v>113</v>
      </c>
    </row>
    <row r="15" spans="1:9" x14ac:dyDescent="0.25">
      <c r="A15" s="2" t="s">
        <v>25</v>
      </c>
      <c r="B15" s="2" t="s">
        <v>26</v>
      </c>
      <c r="C15" s="2">
        <v>0.97793299354457597</v>
      </c>
      <c r="D15" s="2" t="s">
        <v>8</v>
      </c>
      <c r="E15" s="2" t="s">
        <v>25</v>
      </c>
      <c r="F15" s="2" t="s">
        <v>26</v>
      </c>
      <c r="G15" s="2" t="e">
        <f>VLOOKUP(F15,[1]Sheet1!$B$2:$B$27,1,0)</f>
        <v>#N/A</v>
      </c>
      <c r="H15" s="7" t="s">
        <v>114</v>
      </c>
    </row>
    <row r="16" spans="1:9" x14ac:dyDescent="0.25">
      <c r="A16" s="2" t="s">
        <v>27</v>
      </c>
      <c r="B16" s="2" t="s">
        <v>28</v>
      </c>
      <c r="C16" s="2">
        <v>0.95684602129578278</v>
      </c>
      <c r="D16" s="2" t="s">
        <v>8</v>
      </c>
      <c r="E16" s="2" t="s">
        <v>27</v>
      </c>
      <c r="F16" s="2" t="s">
        <v>28</v>
      </c>
      <c r="G16" s="2" t="str">
        <f>VLOOKUP(F16,[1]Sheet1!$B$2:$B$27,1,0)</f>
        <v>d2_vt_pt</v>
      </c>
      <c r="H16" s="4" t="s">
        <v>106</v>
      </c>
    </row>
    <row r="17" spans="1:9" x14ac:dyDescent="0.25">
      <c r="A17" s="2" t="s">
        <v>27</v>
      </c>
      <c r="B17" s="2" t="s">
        <v>29</v>
      </c>
      <c r="C17" s="2">
        <v>0.95603755583780148</v>
      </c>
      <c r="D17" s="2" t="s">
        <v>8</v>
      </c>
      <c r="E17" s="2" t="s">
        <v>27</v>
      </c>
      <c r="F17" s="2" t="s">
        <v>29</v>
      </c>
      <c r="G17" s="2" t="str">
        <f>VLOOKUP(F17,[1]Sheet1!$B$2:$B$27,1,0)</f>
        <v>d2_vt_pc</v>
      </c>
      <c r="H17" s="4"/>
    </row>
    <row r="18" spans="1:9" x14ac:dyDescent="0.25">
      <c r="A18" s="2" t="s">
        <v>30</v>
      </c>
      <c r="B18" s="2" t="s">
        <v>31</v>
      </c>
      <c r="C18" s="2">
        <v>0.96011278610656581</v>
      </c>
      <c r="D18" s="2" t="s">
        <v>8</v>
      </c>
      <c r="E18" s="2" t="s">
        <v>30</v>
      </c>
      <c r="F18" s="2" t="s">
        <v>31</v>
      </c>
      <c r="G18" s="2" t="str">
        <f>VLOOKUP(F18,[1]Sheet1!$B$2:$B$27,1,0)</f>
        <v>tiempo_protrombina</v>
      </c>
      <c r="H18" s="4" t="s">
        <v>107</v>
      </c>
    </row>
    <row r="19" spans="1:9" x14ac:dyDescent="0.25">
      <c r="A19" s="2" t="s">
        <v>30</v>
      </c>
      <c r="B19" s="2" t="s">
        <v>32</v>
      </c>
      <c r="C19" s="2">
        <v>0.97763895494391284</v>
      </c>
      <c r="D19" s="2" t="s">
        <v>8</v>
      </c>
      <c r="E19" s="2" t="s">
        <v>30</v>
      </c>
      <c r="F19" s="2" t="s">
        <v>32</v>
      </c>
      <c r="G19" s="2" t="str">
        <f>VLOOKUP(F19,[1]Sheet1!$B$2:$B$27,1,0)</f>
        <v>tiempo_protrombina_rati</v>
      </c>
      <c r="H19" s="4"/>
    </row>
    <row r="20" spans="1:9" x14ac:dyDescent="0.25">
      <c r="A20" s="2" t="s">
        <v>33</v>
      </c>
      <c r="B20" s="2" t="s">
        <v>34</v>
      </c>
      <c r="C20" s="2">
        <v>0.96441572678601761</v>
      </c>
      <c r="D20" s="2" t="s">
        <v>8</v>
      </c>
      <c r="E20" s="2" t="s">
        <v>33</v>
      </c>
      <c r="F20" s="2" t="s">
        <v>34</v>
      </c>
      <c r="G20" s="2" t="e">
        <f>VLOOKUP(F20,[1]Sheet1!$B$2:$B$27,1,0)</f>
        <v>#N/A</v>
      </c>
      <c r="H20" s="2" t="s">
        <v>33</v>
      </c>
    </row>
    <row r="21" spans="1:9" x14ac:dyDescent="0.25">
      <c r="A21" s="2" t="s">
        <v>35</v>
      </c>
      <c r="B21" s="2" t="s">
        <v>36</v>
      </c>
      <c r="C21" s="2">
        <v>0.98620511601622096</v>
      </c>
      <c r="D21" s="2" t="s">
        <v>8</v>
      </c>
      <c r="E21" s="2" t="s">
        <v>35</v>
      </c>
      <c r="F21" s="2" t="s">
        <v>36</v>
      </c>
      <c r="G21" s="2" t="e">
        <f>VLOOKUP(F21,[1]Sheet1!$B$2:$B$27,1,0)</f>
        <v>#N/A</v>
      </c>
      <c r="H21" s="2" t="s">
        <v>35</v>
      </c>
    </row>
    <row r="22" spans="1:9" x14ac:dyDescent="0.25">
      <c r="A22" s="2" t="s">
        <v>37</v>
      </c>
      <c r="B22" s="2" t="s">
        <v>38</v>
      </c>
      <c r="C22" s="2">
        <v>0.91590563936417946</v>
      </c>
      <c r="D22" s="2" t="s">
        <v>8</v>
      </c>
      <c r="E22" s="2" t="s">
        <v>37</v>
      </c>
      <c r="F22" s="2" t="s">
        <v>38</v>
      </c>
      <c r="G22" s="2" t="e">
        <f>VLOOKUP(F22,[1]Sheet1!$B$2:$B$27,1,0)</f>
        <v>#N/A</v>
      </c>
      <c r="H22" s="2" t="s">
        <v>37</v>
      </c>
    </row>
    <row r="23" spans="1:9" x14ac:dyDescent="0.25">
      <c r="A23" s="2" t="s">
        <v>39</v>
      </c>
      <c r="B23" s="2" t="s">
        <v>40</v>
      </c>
      <c r="C23" s="2">
        <v>0.91145084539840038</v>
      </c>
      <c r="D23" s="2" t="s">
        <v>8</v>
      </c>
      <c r="E23" s="2" t="s">
        <v>39</v>
      </c>
      <c r="F23" s="2" t="s">
        <v>40</v>
      </c>
      <c r="G23" s="2" t="e">
        <f>VLOOKUP(F23,[1]Sheet1!$B$2:$B$27,1,0)</f>
        <v>#N/A</v>
      </c>
      <c r="H23" s="4" t="s">
        <v>108</v>
      </c>
    </row>
    <row r="24" spans="1:9" x14ac:dyDescent="0.25">
      <c r="A24" s="2" t="s">
        <v>39</v>
      </c>
      <c r="B24" s="2" t="s">
        <v>41</v>
      </c>
      <c r="C24" s="2">
        <v>0.94419358104687656</v>
      </c>
      <c r="D24" s="2" t="s">
        <v>8</v>
      </c>
      <c r="E24" s="2" t="s">
        <v>39</v>
      </c>
      <c r="F24" s="2" t="s">
        <v>41</v>
      </c>
      <c r="G24" s="2" t="e">
        <f>VLOOKUP(F24,[1]Sheet1!$B$2:$B$27,1,0)</f>
        <v>#N/A</v>
      </c>
      <c r="H24" s="4"/>
    </row>
    <row r="25" spans="1:9" x14ac:dyDescent="0.25">
      <c r="A25" s="2" t="s">
        <v>42</v>
      </c>
      <c r="B25" s="2" t="s">
        <v>43</v>
      </c>
      <c r="C25" s="2">
        <v>1</v>
      </c>
      <c r="D25" s="2" t="s">
        <v>8</v>
      </c>
      <c r="E25" s="2" t="s">
        <v>42</v>
      </c>
      <c r="F25" s="2" t="s">
        <v>43</v>
      </c>
      <c r="G25" s="2" t="e">
        <f>VLOOKUP(F25,[1]Sheet1!$B$2:$B$27,1,0)</f>
        <v>#N/A</v>
      </c>
      <c r="H25" s="4" t="s">
        <v>109</v>
      </c>
    </row>
    <row r="26" spans="1:9" x14ac:dyDescent="0.25">
      <c r="A26" s="2" t="s">
        <v>42</v>
      </c>
      <c r="B26" s="2" t="s">
        <v>44</v>
      </c>
      <c r="C26" s="2">
        <v>0.96693750505575082</v>
      </c>
      <c r="D26" s="2" t="s">
        <v>8</v>
      </c>
      <c r="E26" s="2" t="s">
        <v>42</v>
      </c>
      <c r="F26" s="2" t="s">
        <v>44</v>
      </c>
      <c r="G26" s="2" t="e">
        <f>VLOOKUP(F26,[1]Sheet1!$B$2:$B$27,1,0)</f>
        <v>#N/A</v>
      </c>
      <c r="H26" s="4"/>
    </row>
    <row r="27" spans="1:9" x14ac:dyDescent="0.25">
      <c r="A27" s="2" t="s">
        <v>45</v>
      </c>
      <c r="B27" s="2" t="s">
        <v>46</v>
      </c>
      <c r="C27" s="2">
        <v>1</v>
      </c>
      <c r="D27" s="2" t="s">
        <v>8</v>
      </c>
      <c r="E27" s="2" t="s">
        <v>45</v>
      </c>
      <c r="F27" s="2" t="s">
        <v>46</v>
      </c>
      <c r="G27" s="2" t="e">
        <f>VLOOKUP(F27,[1]Sheet1!$B$2:$B$27,1,0)</f>
        <v>#N/A</v>
      </c>
      <c r="H27" s="4" t="s">
        <v>115</v>
      </c>
    </row>
    <row r="28" spans="1:9" x14ac:dyDescent="0.25">
      <c r="A28" s="2" t="s">
        <v>45</v>
      </c>
      <c r="B28" s="2" t="s">
        <v>47</v>
      </c>
      <c r="C28" s="2">
        <v>1</v>
      </c>
      <c r="D28" s="2" t="s">
        <v>8</v>
      </c>
      <c r="E28" s="2" t="s">
        <v>45</v>
      </c>
      <c r="F28" s="2" t="s">
        <v>47</v>
      </c>
      <c r="G28" s="2" t="e">
        <f>VLOOKUP(F28,[1]Sheet1!$B$2:$B$27,1,0)</f>
        <v>#N/A</v>
      </c>
      <c r="H28" s="4"/>
    </row>
    <row r="29" spans="1:9" x14ac:dyDescent="0.25">
      <c r="A29" s="2" t="s">
        <v>48</v>
      </c>
      <c r="B29" s="2" t="s">
        <v>49</v>
      </c>
      <c r="C29" s="2">
        <v>0.93868599657171403</v>
      </c>
      <c r="D29" s="2" t="s">
        <v>8</v>
      </c>
      <c r="E29" s="2" t="s">
        <v>48</v>
      </c>
      <c r="F29" s="2" t="s">
        <v>49</v>
      </c>
      <c r="G29" s="2" t="e">
        <f>VLOOKUP(F29,[1]Sheet1!$B$2:$B$27,1,0)</f>
        <v>#N/A</v>
      </c>
      <c r="H29" s="7" t="s">
        <v>100</v>
      </c>
    </row>
    <row r="30" spans="1:9" x14ac:dyDescent="0.25">
      <c r="A30" s="2" t="s">
        <v>50</v>
      </c>
      <c r="B30" s="2" t="s">
        <v>51</v>
      </c>
      <c r="C30" s="2">
        <v>0.98656664042510822</v>
      </c>
      <c r="D30" s="2" t="s">
        <v>8</v>
      </c>
      <c r="E30" s="2" t="s">
        <v>50</v>
      </c>
      <c r="F30" s="2" t="s">
        <v>51</v>
      </c>
      <c r="G30" s="2" t="e">
        <f>VLOOKUP(F30,[1]Sheet1!$B$2:$B$27,1,0)</f>
        <v>#N/A</v>
      </c>
      <c r="H30" s="7" t="s">
        <v>110</v>
      </c>
    </row>
    <row r="31" spans="1:9" x14ac:dyDescent="0.25">
      <c r="A31" s="2" t="s">
        <v>52</v>
      </c>
      <c r="B31" s="2" t="s">
        <v>53</v>
      </c>
      <c r="C31" s="2">
        <v>0.99226932010929236</v>
      </c>
      <c r="D31" s="2" t="s">
        <v>8</v>
      </c>
      <c r="E31" s="2" t="s">
        <v>52</v>
      </c>
      <c r="F31" s="2" t="s">
        <v>53</v>
      </c>
      <c r="G31" s="2" t="e">
        <f>VLOOKUP(F31,[1]Sheet1!$B$2:$B$27,1,0)</f>
        <v>#N/A</v>
      </c>
      <c r="H31" s="7" t="s">
        <v>111</v>
      </c>
    </row>
    <row r="32" spans="1:9" x14ac:dyDescent="0.25">
      <c r="A32" s="2" t="s">
        <v>54</v>
      </c>
      <c r="B32" s="2" t="s">
        <v>55</v>
      </c>
      <c r="C32" s="2">
        <v>1</v>
      </c>
      <c r="D32" s="2" t="s">
        <v>8</v>
      </c>
      <c r="E32" s="2" t="s">
        <v>54</v>
      </c>
      <c r="F32" s="2" t="s">
        <v>55</v>
      </c>
      <c r="G32" s="2" t="e">
        <f>VLOOKUP(F32,[1]Sheet1!$B$2:$B$27,1,0)</f>
        <v>#N/A</v>
      </c>
      <c r="H32" s="7" t="s">
        <v>116</v>
      </c>
      <c r="I32" s="2" t="s">
        <v>118</v>
      </c>
    </row>
    <row r="33" spans="1:8" x14ac:dyDescent="0.25">
      <c r="A33" s="2" t="s">
        <v>56</v>
      </c>
      <c r="B33" s="2" t="s">
        <v>57</v>
      </c>
      <c r="C33" s="2">
        <v>0.92781208869089804</v>
      </c>
      <c r="D33" s="2" t="s">
        <v>8</v>
      </c>
      <c r="E33" s="2" t="s">
        <v>56</v>
      </c>
      <c r="F33" s="2" t="s">
        <v>57</v>
      </c>
      <c r="G33" s="2" t="e">
        <f>VLOOKUP(F33,[1]Sheet1!$B$2:$B$27,1,0)</f>
        <v>#N/A</v>
      </c>
      <c r="H33" s="6" t="s">
        <v>112</v>
      </c>
    </row>
    <row r="34" spans="1:8" x14ac:dyDescent="0.25">
      <c r="A34" s="2" t="s">
        <v>58</v>
      </c>
      <c r="B34" s="2" t="s">
        <v>59</v>
      </c>
      <c r="C34" s="2">
        <v>1</v>
      </c>
      <c r="D34" s="2" t="s">
        <v>8</v>
      </c>
      <c r="E34" s="2" t="s">
        <v>58</v>
      </c>
      <c r="F34" s="2" t="s">
        <v>59</v>
      </c>
      <c r="G34" s="2" t="str">
        <f>VLOOKUP(F34,[1]Sheet1!$B$2:$B$27,1,0)</f>
        <v>phenoage</v>
      </c>
      <c r="H34" s="6" t="s">
        <v>117</v>
      </c>
    </row>
    <row r="35" spans="1:8" x14ac:dyDescent="0.25">
      <c r="A35" s="2" t="s">
        <v>60</v>
      </c>
      <c r="B35" s="2" t="s">
        <v>61</v>
      </c>
      <c r="C35" s="2">
        <v>0.91460969930140734</v>
      </c>
      <c r="D35" s="2" t="s">
        <v>8</v>
      </c>
      <c r="E35" s="2" t="s">
        <v>60</v>
      </c>
      <c r="F35" s="2" t="s">
        <v>61</v>
      </c>
      <c r="G35" s="2" t="e">
        <f>VLOOKUP(F35,[1]Sheet1!$B$2:$B$27,1,0)</f>
        <v>#N/A</v>
      </c>
    </row>
    <row r="36" spans="1:8" x14ac:dyDescent="0.25">
      <c r="A36" s="2" t="s">
        <v>62</v>
      </c>
      <c r="B36" s="2" t="s">
        <v>63</v>
      </c>
      <c r="C36" s="2">
        <v>0.91167444625658978</v>
      </c>
      <c r="D36" s="2" t="s">
        <v>8</v>
      </c>
      <c r="E36" s="2" t="s">
        <v>62</v>
      </c>
      <c r="F36" s="2" t="s">
        <v>63</v>
      </c>
      <c r="G36" s="2" t="e">
        <f>VLOOKUP(F36,[1]Sheet1!$B$2:$B$27,1,0)</f>
        <v>#N/A</v>
      </c>
    </row>
    <row r="37" spans="1:8" x14ac:dyDescent="0.25">
      <c r="A37" s="2" t="s">
        <v>62</v>
      </c>
      <c r="B37" s="2" t="s">
        <v>64</v>
      </c>
      <c r="C37" s="2">
        <v>0.92427750058175362</v>
      </c>
      <c r="D37" s="2" t="s">
        <v>8</v>
      </c>
      <c r="E37" s="2" t="s">
        <v>62</v>
      </c>
      <c r="F37" s="2" t="s">
        <v>64</v>
      </c>
      <c r="G37" s="2" t="str">
        <f>VLOOKUP(F37,[1]Sheet1!$B$2:$B$27,1,0)</f>
        <v>apolipoproteina_b</v>
      </c>
    </row>
    <row r="38" spans="1:8" x14ac:dyDescent="0.25">
      <c r="A38" s="2" t="s">
        <v>65</v>
      </c>
      <c r="B38" s="2" t="s">
        <v>66</v>
      </c>
      <c r="C38" s="2">
        <v>0.90172756986536684</v>
      </c>
      <c r="D38" s="2" t="s">
        <v>8</v>
      </c>
      <c r="E38" s="2" t="s">
        <v>65</v>
      </c>
      <c r="F38" s="2" t="s">
        <v>66</v>
      </c>
      <c r="G38" s="2" t="e">
        <f>VLOOKUP(F38,[1]Sheet1!$B$2:$B$27,1,0)</f>
        <v>#N/A</v>
      </c>
    </row>
    <row r="39" spans="1:8" x14ac:dyDescent="0.25">
      <c r="A39" s="2" t="s">
        <v>67</v>
      </c>
      <c r="B39" s="2" t="s">
        <v>68</v>
      </c>
      <c r="C39" s="2">
        <v>0.99200383395058322</v>
      </c>
      <c r="D39" s="2" t="s">
        <v>8</v>
      </c>
      <c r="E39" s="2" t="s">
        <v>67</v>
      </c>
      <c r="F39" s="2" t="s">
        <v>68</v>
      </c>
      <c r="G39" s="2" t="e">
        <f>VLOOKUP(F39,[1]Sheet1!$B$2:$B$27,1,0)</f>
        <v>#N/A</v>
      </c>
    </row>
    <row r="40" spans="1:8" x14ac:dyDescent="0.25">
      <c r="A40" s="2" t="s">
        <v>67</v>
      </c>
      <c r="B40" s="2" t="s">
        <v>69</v>
      </c>
      <c r="C40" s="2">
        <v>0.94202425176856097</v>
      </c>
      <c r="D40" s="2" t="s">
        <v>8</v>
      </c>
      <c r="E40" s="2" t="s">
        <v>67</v>
      </c>
      <c r="F40" s="2" t="s">
        <v>69</v>
      </c>
      <c r="G40" s="2" t="e">
        <f>VLOOKUP(F40,[1]Sheet1!$B$2:$B$27,1,0)</f>
        <v>#N/A</v>
      </c>
    </row>
    <row r="41" spans="1:8" x14ac:dyDescent="0.25">
      <c r="A41" s="2" t="s">
        <v>67</v>
      </c>
      <c r="B41" s="2" t="s">
        <v>70</v>
      </c>
      <c r="C41" s="2">
        <v>1</v>
      </c>
      <c r="D41" s="2" t="s">
        <v>8</v>
      </c>
      <c r="E41" s="2" t="s">
        <v>67</v>
      </c>
      <c r="F41" s="2" t="s">
        <v>70</v>
      </c>
      <c r="G41" s="2" t="e">
        <f>VLOOKUP(F41,[1]Sheet1!$B$2:$B$27,1,0)</f>
        <v>#N/A</v>
      </c>
    </row>
    <row r="42" spans="1:8" x14ac:dyDescent="0.25">
      <c r="A42" s="2" t="s">
        <v>71</v>
      </c>
      <c r="B42" s="2" t="s">
        <v>72</v>
      </c>
      <c r="C42" s="2">
        <v>0.99695995529257964</v>
      </c>
      <c r="D42" s="2" t="s">
        <v>8</v>
      </c>
      <c r="E42" s="2" t="s">
        <v>71</v>
      </c>
      <c r="F42" s="2" t="s">
        <v>72</v>
      </c>
      <c r="G42" s="2" t="e">
        <f>VLOOKUP(F42,[1]Sheet1!$B$2:$B$27,1,0)</f>
        <v>#N/A</v>
      </c>
    </row>
    <row r="43" spans="1:8" x14ac:dyDescent="0.25">
      <c r="A43" s="2" t="s">
        <v>71</v>
      </c>
      <c r="B43" s="2" t="s">
        <v>73</v>
      </c>
      <c r="C43" s="2">
        <v>0.99695487631928503</v>
      </c>
      <c r="D43" s="2" t="s">
        <v>8</v>
      </c>
      <c r="E43" s="2" t="s">
        <v>71</v>
      </c>
      <c r="F43" s="2" t="s">
        <v>73</v>
      </c>
      <c r="G43" s="2" t="e">
        <f>VLOOKUP(F43,[1]Sheet1!$B$2:$B$27,1,0)</f>
        <v>#N/A</v>
      </c>
    </row>
    <row r="44" spans="1:8" x14ac:dyDescent="0.25">
      <c r="A44" s="2" t="s">
        <v>74</v>
      </c>
      <c r="B44" s="2" t="s">
        <v>75</v>
      </c>
      <c r="C44" s="2">
        <v>0.97917121847360022</v>
      </c>
      <c r="D44" s="2" t="s">
        <v>8</v>
      </c>
      <c r="E44" s="2" t="s">
        <v>74</v>
      </c>
      <c r="F44" s="2" t="s">
        <v>75</v>
      </c>
      <c r="G44" s="2" t="e">
        <f>VLOOKUP(F44,[1]Sheet1!$B$2:$B$27,1,0)</f>
        <v>#N/A</v>
      </c>
    </row>
    <row r="45" spans="1:8" x14ac:dyDescent="0.25">
      <c r="A45" s="2" t="s">
        <v>76</v>
      </c>
      <c r="B45" s="2" t="s">
        <v>77</v>
      </c>
      <c r="C45" s="2">
        <v>0.9199989878159186</v>
      </c>
      <c r="D45" s="2" t="s">
        <v>8</v>
      </c>
      <c r="E45" s="2" t="s">
        <v>76</v>
      </c>
      <c r="F45" s="2" t="s">
        <v>77</v>
      </c>
      <c r="G45" s="2" t="str">
        <f>VLOOKUP(F45,[1]Sheet1!$B$2:$B$27,1,0)</f>
        <v>waso</v>
      </c>
    </row>
    <row r="46" spans="1:8" x14ac:dyDescent="0.25">
      <c r="A46" s="2" t="s">
        <v>78</v>
      </c>
      <c r="B46" s="2" t="s">
        <v>79</v>
      </c>
      <c r="C46" s="2">
        <v>0.99974674439519107</v>
      </c>
      <c r="D46" s="2" t="s">
        <v>8</v>
      </c>
      <c r="E46" s="2" t="s">
        <v>78</v>
      </c>
      <c r="F46" s="2" t="s">
        <v>79</v>
      </c>
      <c r="G46" s="2" t="e">
        <f>VLOOKUP(F46,[1]Sheet1!$B$2:$B$27,1,0)</f>
        <v>#N/A</v>
      </c>
    </row>
    <row r="47" spans="1:8" x14ac:dyDescent="0.25">
      <c r="A47" s="2" t="s">
        <v>80</v>
      </c>
      <c r="B47" s="2" t="s">
        <v>81</v>
      </c>
      <c r="C47" s="2">
        <v>0.91242191375836545</v>
      </c>
      <c r="D47" s="2" t="s">
        <v>8</v>
      </c>
      <c r="E47" s="2" t="s">
        <v>80</v>
      </c>
      <c r="F47" s="2" t="s">
        <v>81</v>
      </c>
      <c r="G47" s="2" t="e">
        <f>VLOOKUP(F47,[1]Sheet1!$B$2:$B$27,1,0)</f>
        <v>#N/A</v>
      </c>
    </row>
    <row r="48" spans="1:8" x14ac:dyDescent="0.25">
      <c r="A48" s="2" t="s">
        <v>80</v>
      </c>
      <c r="B48" s="2" t="s">
        <v>82</v>
      </c>
      <c r="C48" s="2">
        <v>0.96134414644270971</v>
      </c>
      <c r="D48" s="2" t="s">
        <v>8</v>
      </c>
      <c r="E48" s="2" t="s">
        <v>80</v>
      </c>
      <c r="F48" s="2" t="s">
        <v>82</v>
      </c>
      <c r="G48" s="2" t="e">
        <f>VLOOKUP(F48,[1]Sheet1!$B$2:$B$27,1,0)</f>
        <v>#N/A</v>
      </c>
    </row>
    <row r="49" spans="1:7" x14ac:dyDescent="0.25">
      <c r="A49" s="2" t="s">
        <v>83</v>
      </c>
      <c r="B49" s="2" t="s">
        <v>84</v>
      </c>
      <c r="C49" s="2">
        <v>0.95858230669141353</v>
      </c>
      <c r="D49" s="2" t="s">
        <v>8</v>
      </c>
      <c r="E49" s="2" t="s">
        <v>83</v>
      </c>
      <c r="F49" s="2" t="s">
        <v>84</v>
      </c>
      <c r="G49" s="2" t="e">
        <f>VLOOKUP(F49,[1]Sheet1!$B$2:$B$27,1,0)</f>
        <v>#N/A</v>
      </c>
    </row>
    <row r="50" spans="1:7" x14ac:dyDescent="0.25">
      <c r="A50" s="2" t="s">
        <v>85</v>
      </c>
      <c r="B50" s="2" t="s">
        <v>86</v>
      </c>
      <c r="C50" s="2">
        <v>1</v>
      </c>
      <c r="D50" s="2" t="s">
        <v>8</v>
      </c>
      <c r="E50" s="2" t="s">
        <v>85</v>
      </c>
      <c r="F50" s="2" t="s">
        <v>86</v>
      </c>
      <c r="G50" s="2" t="e">
        <f>VLOOKUP(F50,[1]Sheet1!$B$2:$B$27,1,0)</f>
        <v>#N/A</v>
      </c>
    </row>
    <row r="51" spans="1:7" x14ac:dyDescent="0.25">
      <c r="A51" s="2" t="s">
        <v>87</v>
      </c>
      <c r="B51" s="2" t="s">
        <v>88</v>
      </c>
      <c r="C51" s="2">
        <v>0.96079788790374532</v>
      </c>
      <c r="D51" s="2" t="s">
        <v>8</v>
      </c>
      <c r="E51" s="2" t="s">
        <v>87</v>
      </c>
      <c r="F51" s="2" t="s">
        <v>88</v>
      </c>
      <c r="G51" s="2" t="e">
        <f>VLOOKUP(F51,[1]Sheet1!$B$2:$B$27,1,0)</f>
        <v>#N/A</v>
      </c>
    </row>
    <row r="52" spans="1:7" x14ac:dyDescent="0.25">
      <c r="A52" s="2" t="s">
        <v>89</v>
      </c>
      <c r="B52" s="2" t="s">
        <v>90</v>
      </c>
      <c r="C52" s="2">
        <v>1</v>
      </c>
      <c r="D52" s="2" t="s">
        <v>8</v>
      </c>
      <c r="E52" s="2" t="s">
        <v>89</v>
      </c>
      <c r="F52" s="2" t="s">
        <v>90</v>
      </c>
      <c r="G52" s="2" t="e">
        <f>VLOOKUP(F52,[1]Sheet1!$B$2:$B$27,1,0)</f>
        <v>#N/A</v>
      </c>
    </row>
    <row r="53" spans="1:7" x14ac:dyDescent="0.25">
      <c r="A53" s="2" t="s">
        <v>89</v>
      </c>
      <c r="B53" s="2" t="s">
        <v>91</v>
      </c>
      <c r="C53" s="2">
        <v>1</v>
      </c>
      <c r="D53" s="2" t="s">
        <v>8</v>
      </c>
      <c r="E53" s="2" t="s">
        <v>89</v>
      </c>
      <c r="F53" s="2" t="s">
        <v>91</v>
      </c>
      <c r="G53" s="2" t="e">
        <f>VLOOKUP(F53,[1]Sheet1!$B$2:$B$27,1,0)</f>
        <v>#N/A</v>
      </c>
    </row>
    <row r="54" spans="1:7" x14ac:dyDescent="0.25">
      <c r="A54" s="2" t="s">
        <v>92</v>
      </c>
      <c r="B54" s="2" t="s">
        <v>93</v>
      </c>
      <c r="C54" s="2">
        <v>0.92829806621443756</v>
      </c>
      <c r="D54" s="2" t="s">
        <v>8</v>
      </c>
      <c r="E54" s="2" t="s">
        <v>92</v>
      </c>
      <c r="F54" s="2" t="s">
        <v>93</v>
      </c>
      <c r="G54" s="2" t="e">
        <f>VLOOKUP(F54,[1]Sheet1!$B$2:$B$27,1,0)</f>
        <v>#N/A</v>
      </c>
    </row>
    <row r="55" spans="1:7" x14ac:dyDescent="0.25">
      <c r="A55" s="2" t="s">
        <v>94</v>
      </c>
      <c r="B55" s="2" t="s">
        <v>95</v>
      </c>
      <c r="C55" s="2">
        <v>0.95660474620463498</v>
      </c>
      <c r="D55" s="2" t="s">
        <v>8</v>
      </c>
      <c r="E55" s="2" t="s">
        <v>94</v>
      </c>
      <c r="F55" s="2" t="s">
        <v>95</v>
      </c>
      <c r="G55" s="2" t="e">
        <f>VLOOKUP(F55,[1]Sheet1!$B$2:$B$27,1,0)</f>
        <v>#N/A</v>
      </c>
    </row>
    <row r="56" spans="1:7" x14ac:dyDescent="0.25">
      <c r="A56" s="2" t="s">
        <v>96</v>
      </c>
      <c r="B56" s="2" t="s">
        <v>97</v>
      </c>
      <c r="C56" s="2">
        <v>0.90199126467571489</v>
      </c>
      <c r="D56" s="2" t="s">
        <v>8</v>
      </c>
      <c r="E56" s="2" t="s">
        <v>96</v>
      </c>
      <c r="F56" s="2" t="s">
        <v>97</v>
      </c>
      <c r="G56" s="2" t="e">
        <f>VLOOKUP(F56,[1]Sheet1!$B$2:$B$27,1,0)</f>
        <v>#N/A</v>
      </c>
    </row>
    <row r="57" spans="1:7" x14ac:dyDescent="0.25">
      <c r="A57" s="2" t="s">
        <v>98</v>
      </c>
      <c r="B57" s="2" t="s">
        <v>99</v>
      </c>
      <c r="C57" s="2">
        <v>1</v>
      </c>
      <c r="D57" s="2" t="s">
        <v>8</v>
      </c>
      <c r="E57" s="2" t="s">
        <v>98</v>
      </c>
      <c r="F57" s="2" t="s">
        <v>99</v>
      </c>
      <c r="G57" s="2" t="e">
        <f>VLOOKUP(F57,[1]Sheet1!$B$2:$B$27,1,0)</f>
        <v>#N/A</v>
      </c>
    </row>
  </sheetData>
  <mergeCells count="7">
    <mergeCell ref="H27:H28"/>
    <mergeCell ref="H3:H6"/>
    <mergeCell ref="H8:H13"/>
    <mergeCell ref="H16:H17"/>
    <mergeCell ref="H18:H19"/>
    <mergeCell ref="H23:H24"/>
    <mergeCell ref="H25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Mardonio Manuel Román Ramírez</cp:lastModifiedBy>
  <dcterms:created xsi:type="dcterms:W3CDTF">2026-02-08T20:59:27Z</dcterms:created>
  <dcterms:modified xsi:type="dcterms:W3CDTF">2026-02-11T17:00:43Z</dcterms:modified>
</cp:coreProperties>
</file>